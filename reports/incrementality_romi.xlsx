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Уровни_знания" sheetId="2" state="visible" r:id="rId2"/>
    <sheet xmlns:r="http://schemas.openxmlformats.org/officeDocument/2006/relationships" name="История_непричинно" sheetId="3" state="visible" r:id="rId3"/>
    <sheet xmlns:r="http://schemas.openxmlformats.org/officeDocument/2006/relationships" name="Атриб_окупаемость" sheetId="4" state="visible" r:id="rId4"/>
    <sheet xmlns:r="http://schemas.openxmlformats.org/officeDocument/2006/relationships" name="Причинный_пример" sheetId="5" state="visible" r:id="rId5"/>
    <sheet xmlns:r="http://schemas.openxmlformats.org/officeDocument/2006/relationships" name="Мощность" sheetId="6" state="visible" r:id="rId6"/>
    <sheet xmlns:r="http://schemas.openxmlformats.org/officeDocument/2006/relationships" name="Повторные_покупки" sheetId="7" state="visible" r:id="rId7"/>
    <sheet xmlns:r="http://schemas.openxmlformats.org/officeDocument/2006/relationships" name="20_каналов" sheetId="8" state="visible" r:id="rId8"/>
    <sheet xmlns:r="http://schemas.openxmlformats.org/officeDocument/2006/relationships" name="План_эксперимента" sheetId="9" state="visible" r:id="rId9"/>
    <sheet xmlns:r="http://schemas.openxmlformats.org/officeDocument/2006/relationships" name="Стоимость_и_маржа" sheetId="10" state="visible" r:id="rId10"/>
    <sheet xmlns:r="http://schemas.openxmlformats.org/officeDocument/2006/relationships" name="Маржа_чувствительность" sheetId="11" state="visible" r:id="rId11"/>
    <sheet xmlns:r="http://schemas.openxmlformats.org/officeDocument/2006/relationships" name="Правила_300к" sheetId="12" state="visible" r:id="rId12"/>
    <sheet xmlns:r="http://schemas.openxmlformats.org/officeDocument/2006/relationships" name="Проверки" sheetId="13" state="visible" r:id="rId13"/>
    <sheet xmlns:r="http://schemas.openxmlformats.org/officeDocument/2006/relationships" name="Источники" sheetId="14" state="visible" r:id="rId1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0;[Red](#,##0.00);-"/>
    <numFmt numFmtId="166" formatCode="#,##0.00 [$₽-ru-RU];[Red](#,##0.00 [$₽-ru-RU]);-"/>
    <numFmt numFmtId="167" formatCode="0.0%;[Red](0.0%);-"/>
    <numFmt numFmtId="168" formatCode="#,##0 [$₽-ru-RU]"/>
    <numFmt numFmtId="169" formatCode="0.0%;[Red](0.0%)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color rgb="00666666"/>
      <sz val="10"/>
    </font>
    <font>
      <b val="1"/>
      <color rgb="00FFFFFF"/>
    </font>
    <font>
      <color rgb="00008000"/>
    </font>
    <font>
      <b val="1"/>
    </font>
    <font>
      <color rgb="000000FF"/>
    </font>
  </fonts>
  <fills count="9">
    <fill>
      <patternFill/>
    </fill>
    <fill>
      <patternFill patternType="gray125"/>
    </fill>
    <fill>
      <patternFill patternType="solid">
        <fgColor rgb="0018222D"/>
      </patternFill>
    </fill>
    <fill>
      <patternFill patternType="solid">
        <fgColor rgb="00E94B4B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EF2F5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bottom style="hair">
        <color rgb="00D9E1F2"/>
      </bottom>
    </border>
    <border>
      <top style="thin">
        <color rgb="00000000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6" fillId="5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8" fontId="6" fillId="0" borderId="0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169" fontId="0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Анализ</author>
  </authors>
  <commentList>
    <comment ref="B4" authorId="0" shapeId="0">
      <text>
        <t>Параметр сценария. Фактическая доля маржи в исходных данных отсутствует.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7810500" cy="428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6667500" cy="409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3</row>
      <rowOff>0</rowOff>
    </from>
    <ext cx="6096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19</row>
      <rowOff>0</rowOff>
    </from>
    <ext cx="85725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3</row>
      <rowOff>0</rowOff>
    </from>
    <ext cx="6667500" cy="409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Этап 6. Причинный эффект и окупаемость</t>
        </is>
      </c>
    </row>
    <row r="2" ht="35" customHeight="1">
      <c r="A2" s="2" t="inlineStr">
        <is>
          <t>Разделяем атрибуцию и причинность. Исторические продажи дают гипотезы, но не дают причинную окупаемость без стоимости и контрольной группы.</t>
        </is>
      </c>
    </row>
    <row r="3"/>
    <row r="4" ht="30" customHeight="1">
      <c r="A4" s="3" t="inlineStr">
        <is>
          <t>Положение</t>
        </is>
      </c>
      <c r="B4" s="3" t="inlineStr">
        <is>
          <t>Решение</t>
        </is>
      </c>
      <c r="C4" s="3" t="inlineStr">
        <is>
          <t>Основание</t>
        </is>
      </c>
    </row>
    <row r="5">
      <c r="A5" s="4" t="inlineStr">
        <is>
          <t>Историческая база</t>
        </is>
      </c>
      <c r="B5" s="5" t="inlineStr">
        <is>
          <t>628 заказов; 5 904 671,67 ₽ выручки</t>
        </is>
      </c>
      <c r="C5" s="4" t="inlineStr">
        <is>
          <t>из этапа 2</t>
        </is>
      </c>
    </row>
    <row r="6">
      <c r="A6" s="4" t="inlineStr">
        <is>
          <t>Исторический маркетинг</t>
        </is>
      </c>
      <c r="B6" s="5" t="inlineStr">
        <is>
          <t>14 восстановленных публичных активностей; стоимость большинства неизвестна</t>
        </is>
      </c>
      <c r="C6" s="4" t="inlineStr">
        <is>
          <t>из этапа 3</t>
        </is>
      </c>
    </row>
    <row r="7">
      <c r="A7" s="4" t="inlineStr">
        <is>
          <t>Историческая причинная оценка</t>
        </is>
      </c>
      <c r="B7" s="5" t="inlineStr">
        <is>
          <t>невозможна надёжно</t>
        </is>
      </c>
      <c r="C7" s="4" t="inlineStr">
        <is>
          <t>нет случайного контроля и пользовательской связи касание → заказ</t>
        </is>
      </c>
    </row>
    <row r="8">
      <c r="A8" s="4" t="inlineStr">
        <is>
          <t>Основная атрибуционная модель</t>
        </is>
      </c>
      <c r="B8" s="5" t="inlineStr">
        <is>
          <t>позиционная, окно 7 дней</t>
        </is>
      </c>
      <c r="C8" s="4" t="inlineStr">
        <is>
          <t>из этапа 5</t>
        </is>
      </c>
    </row>
    <row r="9">
      <c r="A9" s="4" t="inlineStr">
        <is>
          <t>Основной причинный дизайн</t>
        </is>
      </c>
      <c r="B9" s="5" t="inlineStr">
        <is>
          <t>случайное разделение аудитории там, где оно технически возможно</t>
        </is>
      </c>
      <c r="C9" s="4" t="inlineStr">
        <is>
          <t>для собственного канала и бота</t>
        </is>
      </c>
    </row>
    <row r="10">
      <c r="A10" s="4" t="inlineStr">
        <is>
          <t>Для 20 внешних каналов</t>
        </is>
      </c>
      <c r="B10" s="5" t="inlineStr">
        <is>
          <t>случайно отложенный запуск по сопоставленным парам</t>
        </is>
      </c>
      <c r="C10" s="4" t="inlineStr">
        <is>
          <t>оценивает совокупный эффект кампании; не обещает причинный эффект каждого канала</t>
        </is>
      </c>
    </row>
    <row r="11">
      <c r="A11" s="4" t="inlineStr">
        <is>
          <t>Основная экономическая метрика</t>
        </is>
      </c>
      <c r="B11" s="5" t="inlineStr">
        <is>
          <t>дополнительная маржа после маркетинговых затрат</t>
        </is>
      </c>
      <c r="C11" s="4" t="inlineStr">
        <is>
          <t>предпочтительнее выручки</t>
        </is>
      </c>
    </row>
    <row r="12">
      <c r="A12" s="4" t="inlineStr">
        <is>
          <t>Окно первичного эффекта</t>
        </is>
      </c>
      <c r="B12" s="5" t="inlineStr">
        <is>
          <t>7 дней</t>
        </is>
      </c>
      <c r="C12" s="4" t="inlineStr">
        <is>
          <t>согласовано с окном атрибуции</t>
        </is>
      </c>
    </row>
    <row r="13">
      <c r="A13" s="4" t="inlineStr">
        <is>
          <t>Окно повторных покупок</t>
        </is>
      </c>
      <c r="B13" s="5" t="inlineStr">
        <is>
          <t>30 дней</t>
        </is>
      </c>
      <c r="C13" s="4" t="inlineStr">
        <is>
          <t>в текущей короткой истории все 22 наблюдаемых повторных заказа укладываются в 30 дней</t>
        </is>
      </c>
    </row>
    <row r="14">
      <c r="A14" s="4" t="inlineStr">
        <is>
          <t>Ключевой запрет</t>
        </is>
      </c>
      <c r="B14" s="5" t="inlineStr">
        <is>
          <t>не считать рост после публикации доказанным эффектом</t>
        </is>
      </c>
      <c r="C14" s="4" t="inlineStr">
        <is>
          <t>временная последовательность не равна причинности</t>
        </is>
      </c>
    </row>
    <row r="15"/>
    <row r="16"/>
    <row r="17">
      <c r="A17" s="6" t="inlineStr">
        <is>
          <t>Ключевой вывод</t>
        </is>
      </c>
      <c r="B17" s="7" t="inlineStr">
        <is>
          <t xml:space="preserve">До запуска новой системы историческую окупаемость по каналам нельзя посчитать честно. На следующем запуске нужно одновременно собирать атрибуцию и заранее закладывать контроль, чтобы отличить «кому приписали» от «что действительно добавилось». </t>
        </is>
      </c>
    </row>
    <row r="18"/>
  </sheetData>
  <mergeCells count="3">
    <mergeCell ref="B17:H18"/>
    <mergeCell ref="A2:H2"/>
    <mergeCell ref="A1:H1"/>
  </mergeCells>
  <pageMargins left="0.3" right="0.3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Три уровня знания</t>
        </is>
      </c>
    </row>
    <row r="2"/>
    <row r="3"/>
    <row r="4" ht="30" customHeight="1">
      <c r="A4" s="3" t="inlineStr">
        <is>
          <t>Уровень</t>
        </is>
      </c>
      <c r="B4" s="3" t="inlineStr">
        <is>
          <t>Что входит</t>
        </is>
      </c>
      <c r="C4" s="3" t="inlineStr">
        <is>
          <t>Как использовать</t>
        </is>
      </c>
    </row>
    <row r="5">
      <c r="A5" s="4" t="inlineStr">
        <is>
          <t>Знаем</t>
        </is>
      </c>
      <c r="B5" s="4" t="inlineStr">
        <is>
          <t>628 исторических заказов, выручку, товары, время оплаты, 22 наблюдаемых повторных заказа; даты ряда публичных акций</t>
        </is>
      </c>
      <c r="C5" s="4" t="inlineStr">
        <is>
          <t>описание фактов и постановка гипотез</t>
        </is>
      </c>
    </row>
    <row r="6">
      <c r="A6" s="4" t="inlineStr">
        <is>
          <t>Оцениваем</t>
        </is>
      </c>
      <c r="B6" s="4" t="inlineStr">
        <is>
          <t>атрибуционные веса, временные подъёмы продаж, сценарные минимальные эффекты, результаты будущих экспериментов</t>
        </is>
      </c>
      <c r="C6" s="4" t="inlineStr">
        <is>
          <t>всегда показывать метод и неопределённость</t>
        </is>
      </c>
    </row>
    <row r="7">
      <c r="A7" s="4" t="inlineStr">
        <is>
          <t>Пока узнать нельзя</t>
        </is>
      </c>
      <c r="B7" s="4" t="inlineStr">
        <is>
          <t>исторический причинный вклад конкретного внешнего размещения и его окупаемость</t>
        </is>
      </c>
      <c r="C7" s="4" t="inlineStr">
        <is>
          <t>начать собирать стоимость, идентификаторы источника и контроль</t>
        </is>
      </c>
    </row>
  </sheetData>
  <mergeCells count="1">
    <mergeCell ref="A1:H1"/>
  </mergeCells>
  <pageMargins left="0.3" right="0.3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10" max="10"/>
  </cols>
  <sheetData>
    <row r="1" ht="28" customHeight="1">
      <c r="A1" s="1" t="inlineStr">
        <is>
          <t>Исторические окна: только описательная оценка</t>
        </is>
      </c>
    </row>
    <row r="2" ht="35" customHeight="1">
      <c r="A2" s="2" t="inlineStr">
        <is>
          <t>Наивный избыток = факт в окне события − среднее до события × длина события. Изменение базового окна показывает чувствительность вывода.</t>
        </is>
      </c>
    </row>
    <row r="3"/>
    <row r="4" ht="30" customHeight="1">
      <c r="A4" s="3" t="inlineStr">
        <is>
          <t>Событие</t>
        </is>
      </c>
      <c r="B4" s="3" t="inlineStr">
        <is>
          <t>Дней базы</t>
        </is>
      </c>
      <c r="C4" s="3" t="inlineStr">
        <is>
          <t>Метрика</t>
        </is>
      </c>
      <c r="D4" s="3" t="inlineStr">
        <is>
          <t>Дней события</t>
        </is>
      </c>
      <c r="E4" s="3" t="inlineStr">
        <is>
          <t>Среднее в базе</t>
        </is>
      </c>
      <c r="F4" s="3" t="inlineStr">
        <is>
          <t>Факт в событии</t>
        </is>
      </c>
      <c r="G4" s="3" t="inlineStr">
        <is>
          <t>Ожидание без события</t>
        </is>
      </c>
      <c r="H4" s="3" t="inlineStr">
        <is>
          <t>Наивный избыток</t>
        </is>
      </c>
      <c r="I4" s="3" t="inlineStr">
        <is>
          <t>Наивный рост</t>
        </is>
      </c>
      <c r="J4" s="3" t="inlineStr">
        <is>
          <t>Статус</t>
        </is>
      </c>
    </row>
    <row r="5">
      <c r="A5" s="4" t="inlineStr">
        <is>
          <t>Финальная распродажа СТАРТ</t>
        </is>
      </c>
      <c r="B5" s="4" t="n">
        <v>2</v>
      </c>
      <c r="C5" s="4" t="inlineStr">
        <is>
          <t>заказы</t>
        </is>
      </c>
      <c r="D5" s="4" t="n">
        <v>2</v>
      </c>
      <c r="E5" s="8" t="n">
        <v>6</v>
      </c>
      <c r="F5" s="8" t="n">
        <v>103</v>
      </c>
      <c r="G5" s="8" t="n">
        <v>12</v>
      </c>
      <c r="H5" s="8" t="n">
        <v>91</v>
      </c>
      <c r="I5" s="9" t="n">
        <v>7.583333333333334</v>
      </c>
      <c r="J5" s="10" t="inlineStr">
        <is>
          <t>описательная оценка, не причинный эффект</t>
        </is>
      </c>
    </row>
    <row r="6">
      <c r="A6" s="4" t="inlineStr">
        <is>
          <t>Финальная распродажа СТАРТ</t>
        </is>
      </c>
      <c r="B6" s="4" t="n">
        <v>2</v>
      </c>
      <c r="C6" s="4" t="inlineStr">
        <is>
          <t>выручка</t>
        </is>
      </c>
      <c r="D6" s="4" t="n">
        <v>2</v>
      </c>
      <c r="E6" s="8" t="n">
        <v>58720</v>
      </c>
      <c r="F6" s="8" t="n">
        <v>799106.6699999999</v>
      </c>
      <c r="G6" s="8" t="n">
        <v>117440</v>
      </c>
      <c r="H6" s="8" t="n">
        <v>681666.6699999999</v>
      </c>
      <c r="I6" s="9" t="n">
        <v>5.804382408038147</v>
      </c>
      <c r="J6" s="10" t="inlineStr">
        <is>
          <t>описательная оценка, не причинный эффект</t>
        </is>
      </c>
    </row>
    <row r="7">
      <c r="A7" s="4" t="inlineStr">
        <is>
          <t>Финальная распродажа СТАРТ</t>
        </is>
      </c>
      <c r="B7" s="4" t="n">
        <v>3</v>
      </c>
      <c r="C7" s="4" t="inlineStr">
        <is>
          <t>заказы</t>
        </is>
      </c>
      <c r="D7" s="4" t="n">
        <v>2</v>
      </c>
      <c r="E7" s="8" t="n">
        <v>6</v>
      </c>
      <c r="F7" s="8" t="n">
        <v>103</v>
      </c>
      <c r="G7" s="8" t="n">
        <v>12</v>
      </c>
      <c r="H7" s="8" t="n">
        <v>91</v>
      </c>
      <c r="I7" s="9" t="n">
        <v>7.583333333333334</v>
      </c>
      <c r="J7" s="10" t="inlineStr">
        <is>
          <t>описательная оценка, не причинный эффект</t>
        </is>
      </c>
    </row>
    <row r="8">
      <c r="A8" s="4" t="inlineStr">
        <is>
          <t>Финальная распродажа СТАРТ</t>
        </is>
      </c>
      <c r="B8" s="4" t="n">
        <v>3</v>
      </c>
      <c r="C8" s="4" t="inlineStr">
        <is>
          <t>выручка</t>
        </is>
      </c>
      <c r="D8" s="4" t="n">
        <v>2</v>
      </c>
      <c r="E8" s="8" t="n">
        <v>61516.66666666666</v>
      </c>
      <c r="F8" s="8" t="n">
        <v>799106.6699999999</v>
      </c>
      <c r="G8" s="8" t="n">
        <v>123033.3333333333</v>
      </c>
      <c r="H8" s="8" t="n">
        <v>676073.3366666666</v>
      </c>
      <c r="I8" s="9" t="n">
        <v>5.495042021132484</v>
      </c>
      <c r="J8" s="10" t="inlineStr">
        <is>
          <t>описательная оценка, не причинный эффект</t>
        </is>
      </c>
    </row>
    <row r="9">
      <c r="A9" s="4" t="inlineStr">
        <is>
          <t>Запуск линейки ПРО</t>
        </is>
      </c>
      <c r="B9" s="4" t="n">
        <v>2</v>
      </c>
      <c r="C9" s="4" t="inlineStr">
        <is>
          <t>заказы</t>
        </is>
      </c>
      <c r="D9" s="4" t="n">
        <v>2</v>
      </c>
      <c r="E9" s="8" t="n">
        <v>4.5</v>
      </c>
      <c r="F9" s="8" t="n">
        <v>65</v>
      </c>
      <c r="G9" s="8" t="n">
        <v>9</v>
      </c>
      <c r="H9" s="8" t="n">
        <v>56</v>
      </c>
      <c r="I9" s="9" t="n">
        <v>6.222222222222222</v>
      </c>
      <c r="J9" s="10" t="inlineStr">
        <is>
          <t>описательная оценка, не причинный эффект</t>
        </is>
      </c>
    </row>
    <row r="10">
      <c r="A10" s="4" t="inlineStr">
        <is>
          <t>Запуск линейки ПРО</t>
        </is>
      </c>
      <c r="B10" s="4" t="n">
        <v>2</v>
      </c>
      <c r="C10" s="4" t="inlineStr">
        <is>
          <t>выручка</t>
        </is>
      </c>
      <c r="D10" s="4" t="n">
        <v>2</v>
      </c>
      <c r="E10" s="8" t="n">
        <v>40365</v>
      </c>
      <c r="F10" s="8" t="n">
        <v>645645</v>
      </c>
      <c r="G10" s="8" t="n">
        <v>80730</v>
      </c>
      <c r="H10" s="8" t="n">
        <v>564915</v>
      </c>
      <c r="I10" s="9" t="n">
        <v>6.997584541062802</v>
      </c>
      <c r="J10" s="10" t="inlineStr">
        <is>
          <t>описательная оценка, не причинный эффект</t>
        </is>
      </c>
    </row>
    <row r="11">
      <c r="A11" s="4" t="inlineStr">
        <is>
          <t>Запуск линейки ПРО</t>
        </is>
      </c>
      <c r="B11" s="4" t="n">
        <v>3</v>
      </c>
      <c r="C11" s="4" t="inlineStr">
        <is>
          <t>заказы</t>
        </is>
      </c>
      <c r="D11" s="4" t="n">
        <v>2</v>
      </c>
      <c r="E11" s="8" t="n">
        <v>4.666666666666667</v>
      </c>
      <c r="F11" s="8" t="n">
        <v>65</v>
      </c>
      <c r="G11" s="8" t="n">
        <v>9.333333333333334</v>
      </c>
      <c r="H11" s="8" t="n">
        <v>55.66666666666666</v>
      </c>
      <c r="I11" s="9" t="n">
        <v>5.964285714285714</v>
      </c>
      <c r="J11" s="10" t="inlineStr">
        <is>
          <t>описательная оценка, не причинный эффект</t>
        </is>
      </c>
    </row>
    <row r="12">
      <c r="A12" s="4" t="inlineStr">
        <is>
          <t>Запуск линейки ПРО</t>
        </is>
      </c>
      <c r="B12" s="4" t="n">
        <v>3</v>
      </c>
      <c r="C12" s="4" t="inlineStr">
        <is>
          <t>выручка</t>
        </is>
      </c>
      <c r="D12" s="4" t="n">
        <v>2</v>
      </c>
      <c r="E12" s="8" t="n">
        <v>45703.33333333334</v>
      </c>
      <c r="F12" s="8" t="n">
        <v>645645</v>
      </c>
      <c r="G12" s="8" t="n">
        <v>91406.66666666667</v>
      </c>
      <c r="H12" s="8" t="n">
        <v>554238.3333333334</v>
      </c>
      <c r="I12" s="9" t="n">
        <v>6.063434468674786</v>
      </c>
      <c r="J12" s="10" t="inlineStr">
        <is>
          <t>описательная оценка, не причинный эффект</t>
        </is>
      </c>
    </row>
    <row r="13">
      <c r="A13" s="4" t="inlineStr">
        <is>
          <t>Запуск линейки ПРО</t>
        </is>
      </c>
      <c r="B13" s="4" t="n">
        <v>5</v>
      </c>
      <c r="C13" s="4" t="inlineStr">
        <is>
          <t>заказы</t>
        </is>
      </c>
      <c r="D13" s="4" t="n">
        <v>2</v>
      </c>
      <c r="E13" s="8" t="n">
        <v>4.6</v>
      </c>
      <c r="F13" s="8" t="n">
        <v>65</v>
      </c>
      <c r="G13" s="8" t="n">
        <v>9.199999999999999</v>
      </c>
      <c r="H13" s="8" t="n">
        <v>55.8</v>
      </c>
      <c r="I13" s="9" t="n">
        <v>6.065217391304349</v>
      </c>
      <c r="J13" s="10" t="inlineStr">
        <is>
          <t>описательная оценка, не причинный эффект</t>
        </is>
      </c>
    </row>
    <row r="14">
      <c r="A14" s="4" t="inlineStr">
        <is>
          <t>Запуск линейки ПРО</t>
        </is>
      </c>
      <c r="B14" s="4" t="n">
        <v>5</v>
      </c>
      <c r="C14" s="4" t="inlineStr">
        <is>
          <t>выручка</t>
        </is>
      </c>
      <c r="D14" s="4" t="n">
        <v>2</v>
      </c>
      <c r="E14" s="8" t="n">
        <v>46281</v>
      </c>
      <c r="F14" s="8" t="n">
        <v>645645</v>
      </c>
      <c r="G14" s="8" t="n">
        <v>92562</v>
      </c>
      <c r="H14" s="8" t="n">
        <v>553083</v>
      </c>
      <c r="I14" s="9" t="n">
        <v>5.975270629415959</v>
      </c>
      <c r="J14" s="10" t="inlineStr">
        <is>
          <t>описательная оценка, не причинный эффект</t>
        </is>
      </c>
    </row>
    <row r="15">
      <c r="A15" s="4" t="inlineStr">
        <is>
          <t>Запуск линейки ПРО</t>
        </is>
      </c>
      <c r="B15" s="4" t="n">
        <v>7</v>
      </c>
      <c r="C15" s="4" t="inlineStr">
        <is>
          <t>заказы</t>
        </is>
      </c>
      <c r="D15" s="4" t="n">
        <v>2</v>
      </c>
      <c r="E15" s="8" t="n">
        <v>4.714285714285714</v>
      </c>
      <c r="F15" s="8" t="n">
        <v>65</v>
      </c>
      <c r="G15" s="8" t="n">
        <v>9.428571428571429</v>
      </c>
      <c r="H15" s="8" t="n">
        <v>55.57142857142857</v>
      </c>
      <c r="I15" s="9" t="n">
        <v>5.893939393939394</v>
      </c>
      <c r="J15" s="10" t="inlineStr">
        <is>
          <t>описательная оценка, не причинный эффект</t>
        </is>
      </c>
    </row>
    <row r="16">
      <c r="A16" s="4" t="inlineStr">
        <is>
          <t>Запуск линейки ПРО</t>
        </is>
      </c>
      <c r="B16" s="4" t="n">
        <v>7</v>
      </c>
      <c r="C16" s="4" t="inlineStr">
        <is>
          <t>выручка</t>
        </is>
      </c>
      <c r="D16" s="4" t="n">
        <v>2</v>
      </c>
      <c r="E16" s="8" t="n">
        <v>46119.28571428572</v>
      </c>
      <c r="F16" s="8" t="n">
        <v>645645</v>
      </c>
      <c r="G16" s="8" t="n">
        <v>92238.57142857143</v>
      </c>
      <c r="H16" s="8" t="n">
        <v>553406.4285714285</v>
      </c>
      <c r="I16" s="9" t="n">
        <v>5.999728963712113</v>
      </c>
      <c r="J16" s="10" t="inlineStr">
        <is>
          <t>описательная оценка, не причинный эффект</t>
        </is>
      </c>
    </row>
    <row r="17">
      <c r="A17" s="4" t="inlineStr">
        <is>
          <t>Вебинар с промокодом</t>
        </is>
      </c>
      <c r="B17" s="4" t="n">
        <v>2</v>
      </c>
      <c r="C17" s="4" t="inlineStr">
        <is>
          <t>заказы</t>
        </is>
      </c>
      <c r="D17" s="4" t="n">
        <v>3</v>
      </c>
      <c r="E17" s="8" t="n">
        <v>8</v>
      </c>
      <c r="F17" s="8" t="n">
        <v>57</v>
      </c>
      <c r="G17" s="8" t="n">
        <v>24</v>
      </c>
      <c r="H17" s="8" t="n">
        <v>33</v>
      </c>
      <c r="I17" s="9" t="n">
        <v>1.375</v>
      </c>
      <c r="J17" s="10" t="inlineStr">
        <is>
          <t>описательная оценка, не причинный эффект</t>
        </is>
      </c>
    </row>
    <row r="18">
      <c r="A18" s="4" t="inlineStr">
        <is>
          <t>Вебинар с промокодом</t>
        </is>
      </c>
      <c r="B18" s="4" t="n">
        <v>2</v>
      </c>
      <c r="C18" s="4" t="inlineStr">
        <is>
          <t>выручка</t>
        </is>
      </c>
      <c r="D18" s="4" t="n">
        <v>3</v>
      </c>
      <c r="E18" s="8" t="n">
        <v>77862.5</v>
      </c>
      <c r="F18" s="8" t="n">
        <v>609408</v>
      </c>
      <c r="G18" s="8" t="n">
        <v>233587.5</v>
      </c>
      <c r="H18" s="8" t="n">
        <v>375820.5</v>
      </c>
      <c r="I18" s="9" t="n">
        <v>1.608906726601381</v>
      </c>
      <c r="J18" s="10" t="inlineStr">
        <is>
          <t>описательная оценка, не причинный эффект</t>
        </is>
      </c>
    </row>
    <row r="19">
      <c r="A19" s="4" t="inlineStr">
        <is>
          <t>Вебинар с промокодом</t>
        </is>
      </c>
      <c r="B19" s="4" t="n">
        <v>3</v>
      </c>
      <c r="C19" s="4" t="inlineStr">
        <is>
          <t>заказы</t>
        </is>
      </c>
      <c r="D19" s="4" t="n">
        <v>3</v>
      </c>
      <c r="E19" s="8" t="n">
        <v>8.666666666666666</v>
      </c>
      <c r="F19" s="8" t="n">
        <v>57</v>
      </c>
      <c r="G19" s="8" t="n">
        <v>26</v>
      </c>
      <c r="H19" s="8" t="n">
        <v>31</v>
      </c>
      <c r="I19" s="9" t="n">
        <v>1.192307692307693</v>
      </c>
      <c r="J19" s="10" t="inlineStr">
        <is>
          <t>описательная оценка, не причинный эффект</t>
        </is>
      </c>
    </row>
    <row r="20">
      <c r="A20" s="4" t="inlineStr">
        <is>
          <t>Вебинар с промокодом</t>
        </is>
      </c>
      <c r="B20" s="4" t="n">
        <v>3</v>
      </c>
      <c r="C20" s="4" t="inlineStr">
        <is>
          <t>выручка</t>
        </is>
      </c>
      <c r="D20" s="4" t="n">
        <v>3</v>
      </c>
      <c r="E20" s="8" t="n">
        <v>97716.66666666667</v>
      </c>
      <c r="F20" s="8" t="n">
        <v>609408</v>
      </c>
      <c r="G20" s="8" t="n">
        <v>293150</v>
      </c>
      <c r="H20" s="8" t="n">
        <v>316258</v>
      </c>
      <c r="I20" s="9" t="n">
        <v>1.078826539314344</v>
      </c>
      <c r="J20" s="10" t="inlineStr">
        <is>
          <t>описательная оценка, не причинный эффект</t>
        </is>
      </c>
    </row>
    <row r="21">
      <c r="A21" s="4" t="inlineStr">
        <is>
          <t>Вебинар с промокодом</t>
        </is>
      </c>
      <c r="B21" s="4" t="n">
        <v>5</v>
      </c>
      <c r="C21" s="4" t="inlineStr">
        <is>
          <t>заказы</t>
        </is>
      </c>
      <c r="D21" s="4" t="n">
        <v>3</v>
      </c>
      <c r="E21" s="8" t="n">
        <v>10</v>
      </c>
      <c r="F21" s="8" t="n">
        <v>57</v>
      </c>
      <c r="G21" s="8" t="n">
        <v>30</v>
      </c>
      <c r="H21" s="8" t="n">
        <v>27</v>
      </c>
      <c r="I21" s="9" t="n">
        <v>0.8999999999999999</v>
      </c>
      <c r="J21" s="10" t="inlineStr">
        <is>
          <t>описательная оценка, не причинный эффект</t>
        </is>
      </c>
    </row>
    <row r="22">
      <c r="A22" s="4" t="inlineStr">
        <is>
          <t>Вебинар с промокодом</t>
        </is>
      </c>
      <c r="B22" s="4" t="n">
        <v>5</v>
      </c>
      <c r="C22" s="4" t="inlineStr">
        <is>
          <t>выручка</t>
        </is>
      </c>
      <c r="D22" s="4" t="n">
        <v>3</v>
      </c>
      <c r="E22" s="8" t="n">
        <v>103775</v>
      </c>
      <c r="F22" s="8" t="n">
        <v>609408</v>
      </c>
      <c r="G22" s="8" t="n">
        <v>311325</v>
      </c>
      <c r="H22" s="8" t="n">
        <v>298083</v>
      </c>
      <c r="I22" s="9" t="n">
        <v>0.9574656709226692</v>
      </c>
      <c r="J22" s="10" t="inlineStr">
        <is>
          <t>описательная оценка, не причинный эффект</t>
        </is>
      </c>
    </row>
    <row r="23">
      <c r="A23" s="4" t="inlineStr">
        <is>
          <t>Вебинар с промокодом</t>
        </is>
      </c>
      <c r="B23" s="4" t="n">
        <v>7</v>
      </c>
      <c r="C23" s="4" t="inlineStr">
        <is>
          <t>заказы</t>
        </is>
      </c>
      <c r="D23" s="4" t="n">
        <v>3</v>
      </c>
      <c r="E23" s="8" t="n">
        <v>15.42857142857143</v>
      </c>
      <c r="F23" s="8" t="n">
        <v>57</v>
      </c>
      <c r="G23" s="8" t="n">
        <v>46.28571428571428</v>
      </c>
      <c r="H23" s="8" t="n">
        <v>10.71428571428572</v>
      </c>
      <c r="I23" s="9" t="n">
        <v>0.2314814814814814</v>
      </c>
      <c r="J23" s="10" t="inlineStr">
        <is>
          <t>описательная оценка, не причинный эффект</t>
        </is>
      </c>
    </row>
    <row r="24">
      <c r="A24" s="4" t="inlineStr">
        <is>
          <t>Вебинар с промокодом</t>
        </is>
      </c>
      <c r="B24" s="4" t="n">
        <v>7</v>
      </c>
      <c r="C24" s="4" t="inlineStr">
        <is>
          <t>выручка</t>
        </is>
      </c>
      <c r="D24" s="4" t="n">
        <v>3</v>
      </c>
      <c r="E24" s="8" t="n">
        <v>156777.5714285714</v>
      </c>
      <c r="F24" s="8" t="n">
        <v>609408</v>
      </c>
      <c r="G24" s="8" t="n">
        <v>470332.7142857143</v>
      </c>
      <c r="H24" s="8" t="n">
        <v>139075.2857142857</v>
      </c>
      <c r="I24" s="9" t="n">
        <v>0.2956955395405503</v>
      </c>
      <c r="J24" s="10" t="inlineStr">
        <is>
          <t>описательная оценка, не причинный эффект</t>
        </is>
      </c>
    </row>
    <row r="25">
      <c r="A25" s="4" t="inlineStr">
        <is>
          <t>Финальная скидка ПРО</t>
        </is>
      </c>
      <c r="B25" s="4" t="n">
        <v>2</v>
      </c>
      <c r="C25" s="4" t="inlineStr">
        <is>
          <t>заказы</t>
        </is>
      </c>
      <c r="D25" s="4" t="n">
        <v>2</v>
      </c>
      <c r="E25" s="8" t="n">
        <v>23</v>
      </c>
      <c r="F25" s="8" t="n">
        <v>94</v>
      </c>
      <c r="G25" s="8" t="n">
        <v>46</v>
      </c>
      <c r="H25" s="8" t="n">
        <v>48</v>
      </c>
      <c r="I25" s="9" t="n">
        <v>1.043478260869565</v>
      </c>
      <c r="J25" s="10" t="inlineStr">
        <is>
          <t>описательная оценка, не причинный эффект</t>
        </is>
      </c>
    </row>
    <row r="26">
      <c r="A26" s="4" t="inlineStr">
        <is>
          <t>Финальная скидка ПРО</t>
        </is>
      </c>
      <c r="B26" s="4" t="n">
        <v>2</v>
      </c>
      <c r="C26" s="4" t="inlineStr">
        <is>
          <t>выручка</t>
        </is>
      </c>
      <c r="D26" s="4" t="n">
        <v>2</v>
      </c>
      <c r="E26" s="8" t="n">
        <v>224992.5</v>
      </c>
      <c r="F26" s="8" t="n">
        <v>880759</v>
      </c>
      <c r="G26" s="8" t="n">
        <v>449985</v>
      </c>
      <c r="H26" s="8" t="n">
        <v>430774</v>
      </c>
      <c r="I26" s="9" t="n">
        <v>0.9573074658044156</v>
      </c>
      <c r="J26" s="10" t="inlineStr">
        <is>
          <t>описательная оценка, не причинный эффект</t>
        </is>
      </c>
    </row>
    <row r="27">
      <c r="A27" s="4" t="inlineStr">
        <is>
          <t>Финальная скидка ПРО</t>
        </is>
      </c>
      <c r="B27" s="4" t="n">
        <v>3</v>
      </c>
      <c r="C27" s="4" t="inlineStr">
        <is>
          <t>заказы</t>
        </is>
      </c>
      <c r="D27" s="4" t="n">
        <v>2</v>
      </c>
      <c r="E27" s="8" t="n">
        <v>23</v>
      </c>
      <c r="F27" s="8" t="n">
        <v>94</v>
      </c>
      <c r="G27" s="8" t="n">
        <v>46</v>
      </c>
      <c r="H27" s="8" t="n">
        <v>48</v>
      </c>
      <c r="I27" s="9" t="n">
        <v>1.043478260869565</v>
      </c>
      <c r="J27" s="10" t="inlineStr">
        <is>
          <t>описательная оценка, не причинный эффект</t>
        </is>
      </c>
    </row>
    <row r="28">
      <c r="A28" s="4" t="inlineStr">
        <is>
          <t>Финальная скидка ПРО</t>
        </is>
      </c>
      <c r="B28" s="4" t="n">
        <v>3</v>
      </c>
      <c r="C28" s="4" t="inlineStr">
        <is>
          <t>выручка</t>
        </is>
      </c>
      <c r="D28" s="4" t="n">
        <v>2</v>
      </c>
      <c r="E28" s="8" t="n">
        <v>222421.6666666667</v>
      </c>
      <c r="F28" s="8" t="n">
        <v>880759</v>
      </c>
      <c r="G28" s="8" t="n">
        <v>444843.3333333333</v>
      </c>
      <c r="H28" s="8" t="n">
        <v>435915.6666666667</v>
      </c>
      <c r="I28" s="9" t="n">
        <v>0.9799307621409785</v>
      </c>
      <c r="J28" s="10" t="inlineStr">
        <is>
          <t>описательная оценка, не причинный эффект</t>
        </is>
      </c>
    </row>
    <row r="29">
      <c r="A29" s="4" t="inlineStr">
        <is>
          <t>Финальная скидка ПРО</t>
        </is>
      </c>
      <c r="B29" s="4" t="n">
        <v>5</v>
      </c>
      <c r="C29" s="4" t="inlineStr">
        <is>
          <t>заказы</t>
        </is>
      </c>
      <c r="D29" s="4" t="n">
        <v>2</v>
      </c>
      <c r="E29" s="8" t="n">
        <v>21.4</v>
      </c>
      <c r="F29" s="8" t="n">
        <v>94</v>
      </c>
      <c r="G29" s="8" t="n">
        <v>42.8</v>
      </c>
      <c r="H29" s="8" t="n">
        <v>51.2</v>
      </c>
      <c r="I29" s="9" t="n">
        <v>1.196261682242991</v>
      </c>
      <c r="J29" s="10" t="inlineStr">
        <is>
          <t>описательная оценка, не причинный эффект</t>
        </is>
      </c>
    </row>
    <row r="30">
      <c r="A30" s="4" t="inlineStr">
        <is>
          <t>Финальная скидка ПРО</t>
        </is>
      </c>
      <c r="B30" s="4" t="n">
        <v>5</v>
      </c>
      <c r="C30" s="4" t="inlineStr">
        <is>
          <t>выручка</t>
        </is>
      </c>
      <c r="D30" s="4" t="n">
        <v>2</v>
      </c>
      <c r="E30" s="8" t="n">
        <v>220066.6</v>
      </c>
      <c r="F30" s="8" t="n">
        <v>880759</v>
      </c>
      <c r="G30" s="8" t="n">
        <v>440133.2</v>
      </c>
      <c r="H30" s="8" t="n">
        <v>440625.8</v>
      </c>
      <c r="I30" s="9" t="n">
        <v>1.001119206640172</v>
      </c>
      <c r="J30" s="10" t="inlineStr">
        <is>
          <t>описательная оценка, не причинный эффект</t>
        </is>
      </c>
    </row>
    <row r="31">
      <c r="A31" s="4" t="inlineStr">
        <is>
          <t>Финальная скидка ПРО</t>
        </is>
      </c>
      <c r="B31" s="4" t="n">
        <v>7</v>
      </c>
      <c r="C31" s="4" t="inlineStr">
        <is>
          <t>заказы</t>
        </is>
      </c>
      <c r="D31" s="4" t="n">
        <v>2</v>
      </c>
      <c r="E31" s="8" t="n">
        <v>19.42857142857143</v>
      </c>
      <c r="F31" s="8" t="n">
        <v>94</v>
      </c>
      <c r="G31" s="8" t="n">
        <v>38.85714285714285</v>
      </c>
      <c r="H31" s="8" t="n">
        <v>55.14285714285715</v>
      </c>
      <c r="I31" s="9" t="n">
        <v>1.419117647058824</v>
      </c>
      <c r="J31" s="10" t="inlineStr">
        <is>
          <t>описательная оценка, не причинный эффект</t>
        </is>
      </c>
    </row>
    <row r="32">
      <c r="A32" s="4" t="inlineStr">
        <is>
          <t>Финальная скидка ПРО</t>
        </is>
      </c>
      <c r="B32" s="4" t="n">
        <v>7</v>
      </c>
      <c r="C32" s="4" t="inlineStr">
        <is>
          <t>выручка</t>
        </is>
      </c>
      <c r="D32" s="4" t="n">
        <v>2</v>
      </c>
      <c r="E32" s="8" t="n">
        <v>196028.2857142857</v>
      </c>
      <c r="F32" s="8" t="n">
        <v>880759</v>
      </c>
      <c r="G32" s="8" t="n">
        <v>392056.5714285714</v>
      </c>
      <c r="H32" s="8" t="n">
        <v>488702.4285714286</v>
      </c>
      <c r="I32" s="9" t="n">
        <v>1.246509978880599</v>
      </c>
      <c r="J32" s="10" t="inlineStr">
        <is>
          <t>описательная оценка, не причинный эффект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Атрибуционная окупаемость: демонстрация</t>
        </is>
      </c>
    </row>
    <row r="2" ht="35" customHeight="1">
      <c r="A2" s="2" t="inlineStr">
        <is>
          <t>Данные в этом листе синтетические и взяты из проверочного контура этапов 4–5. Исторические расходы на рекламу неизвестны.</t>
        </is>
      </c>
    </row>
    <row r="3"/>
    <row r="4">
      <c r="A4" s="11" t="inlineStr">
        <is>
          <t>Сценарная доля маржи</t>
        </is>
      </c>
      <c r="B4" s="12" t="n">
        <v>0.7</v>
      </c>
    </row>
    <row r="5"/>
    <row r="6" ht="30" customHeight="1">
      <c r="A6" s="3" t="inlineStr">
        <is>
          <t>Канал</t>
        </is>
      </c>
      <c r="B6" s="3" t="inlineStr">
        <is>
          <t>Размещение</t>
        </is>
      </c>
      <c r="C6" s="3" t="inlineStr">
        <is>
          <t>Атрибутированная выручка, ₽</t>
        </is>
      </c>
      <c r="D6" s="3" t="inlineStr">
        <is>
          <t>Стоимость маркетинга, ₽</t>
        </is>
      </c>
      <c r="E6" s="3" t="inlineStr">
        <is>
          <t>Окупаемость по выручке</t>
        </is>
      </c>
      <c r="F6" s="3" t="inlineStr">
        <is>
          <t>Атрибутированная маржа, ₽</t>
        </is>
      </c>
      <c r="G6" s="3" t="inlineStr">
        <is>
          <t>Окупаемость по марже</t>
        </is>
      </c>
      <c r="H6" s="3" t="inlineStr">
        <is>
          <t>Статус данных</t>
        </is>
      </c>
    </row>
    <row r="7">
      <c r="A7" s="4" t="inlineStr">
        <is>
          <t>Внешний канал А</t>
        </is>
      </c>
      <c r="B7" s="4" t="inlineStr">
        <is>
          <t>Размещение А-1</t>
        </is>
      </c>
      <c r="C7" s="13" t="n">
        <v>22980</v>
      </c>
      <c r="D7" s="13" t="n">
        <v>50000</v>
      </c>
      <c r="E7" s="14">
        <f>(C7-D7)/D7</f>
        <v/>
      </c>
      <c r="F7" s="13">
        <f>C7*$B$4</f>
        <v/>
      </c>
      <c r="G7" s="14">
        <f>(F7-D7)/D7</f>
        <v/>
      </c>
      <c r="H7" s="4" t="inlineStr">
        <is>
          <t>синтетический пример</t>
        </is>
      </c>
    </row>
    <row r="8">
      <c r="A8" s="4" t="inlineStr">
        <is>
          <t>Внешний канал Б</t>
        </is>
      </c>
      <c r="B8" s="4" t="inlineStr">
        <is>
          <t>Размещение Б-1</t>
        </is>
      </c>
      <c r="C8" s="13" t="n">
        <v>30895</v>
      </c>
      <c r="D8" s="13" t="n">
        <v>60000</v>
      </c>
      <c r="E8" s="14">
        <f>(C8-D8)/D8</f>
        <v/>
      </c>
      <c r="F8" s="13">
        <f>C8*$B$4</f>
        <v/>
      </c>
      <c r="G8" s="14">
        <f>(F8-D8)/D8</f>
        <v/>
      </c>
      <c r="H8" s="4" t="inlineStr">
        <is>
          <t>синтетический пример</t>
        </is>
      </c>
    </row>
    <row r="9">
      <c r="A9" s="15" t="inlineStr">
        <is>
          <t>Итого</t>
        </is>
      </c>
      <c r="B9" s="15" t="n"/>
      <c r="C9" s="16">
        <f>SUM(C7:C8)</f>
        <v/>
      </c>
      <c r="D9" s="16">
        <f>SUM(D7:D8)</f>
        <v/>
      </c>
      <c r="E9" s="17">
        <f>(C9-D9)/D9</f>
        <v/>
      </c>
      <c r="F9" s="16">
        <f>C9*$B$4</f>
        <v/>
      </c>
      <c r="G9" s="17">
        <f>(F9-D9)/D9</f>
        <v/>
      </c>
      <c r="H9" s="15" t="inlineStr">
        <is>
          <t>синтетический пример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Синтетический пример индивидуального эксперимента</t>
        </is>
      </c>
    </row>
    <row r="2" ht="35" customHeight="1">
      <c r="A2" s="2" t="inlineStr">
        <is>
          <t>Числа ниже нужны только для проверки расчёта. Они не являются прогнозом будущей кампании.</t>
        </is>
      </c>
    </row>
    <row r="3"/>
    <row r="4" ht="30" customHeight="1">
      <c r="A4" s="18" t="inlineStr">
        <is>
          <t>Входной параметр</t>
        </is>
      </c>
      <c r="B4" s="18" t="inlineStr">
        <is>
          <t>Значение</t>
        </is>
      </c>
      <c r="C4" s="18" t="inlineStr">
        <is>
          <t>Единица</t>
        </is>
      </c>
    </row>
    <row r="5">
      <c r="A5" s="11" t="inlineStr">
        <is>
          <t>Пользователей в контроле</t>
        </is>
      </c>
      <c r="B5" s="19" t="n">
        <v>4000</v>
      </c>
      <c r="C5" s="11" t="inlineStr">
        <is>
          <t>чел.</t>
        </is>
      </c>
    </row>
    <row r="6">
      <c r="A6" s="11" t="inlineStr">
        <is>
          <t>Оплат в контроле</t>
        </is>
      </c>
      <c r="B6" s="19" t="n">
        <v>200</v>
      </c>
      <c r="C6" s="11" t="inlineStr">
        <is>
          <t>заказов</t>
        </is>
      </c>
    </row>
    <row r="7">
      <c r="A7" s="11" t="inlineStr">
        <is>
          <t>Пользователей под воздействием</t>
        </is>
      </c>
      <c r="B7" s="19" t="n">
        <v>4000</v>
      </c>
      <c r="C7" s="11" t="inlineStr">
        <is>
          <t>чел.</t>
        </is>
      </c>
    </row>
    <row r="8">
      <c r="A8" s="11" t="inlineStr">
        <is>
          <t>Оплат под воздействием</t>
        </is>
      </c>
      <c r="B8" s="19" t="n">
        <v>260</v>
      </c>
      <c r="C8" s="11" t="inlineStr">
        <is>
          <t>заказов</t>
        </is>
      </c>
    </row>
    <row r="9">
      <c r="A9" s="11" t="inlineStr">
        <is>
          <t>Средний чек сценария</t>
        </is>
      </c>
      <c r="B9" s="19" t="n">
        <v>8950</v>
      </c>
      <c r="C9" s="11" t="inlineStr">
        <is>
          <t>₽</t>
        </is>
      </c>
    </row>
    <row r="10">
      <c r="A10" s="11" t="inlineStr">
        <is>
          <t>Стоимость маркетинга</t>
        </is>
      </c>
      <c r="B10" s="19" t="n">
        <v>300000</v>
      </c>
      <c r="C10" s="11" t="inlineStr">
        <is>
          <t>₽</t>
        </is>
      </c>
    </row>
    <row r="11">
      <c r="A11" s="11" t="inlineStr">
        <is>
          <t>Доля маржи сценария</t>
        </is>
      </c>
      <c r="B11" s="12" t="n">
        <v>0.7</v>
      </c>
      <c r="C11" s="11" t="inlineStr">
        <is>
          <t>доля</t>
        </is>
      </c>
    </row>
    <row r="12">
      <c r="A12" s="11" t="inlineStr">
        <is>
          <t>Квантиль для 95% интервала</t>
        </is>
      </c>
      <c r="B12" s="19" t="n">
        <v>1.96</v>
      </c>
      <c r="C12" s="11" t="inlineStr">
        <is>
          <t>число</t>
        </is>
      </c>
    </row>
    <row r="13"/>
    <row r="14"/>
    <row r="15" ht="30" customHeight="1">
      <c r="A15" s="3" t="inlineStr">
        <is>
          <t>Показатель</t>
        </is>
      </c>
      <c r="B15" s="3" t="inlineStr">
        <is>
          <t>Формула / результат</t>
        </is>
      </c>
      <c r="C15" s="3" t="inlineStr">
        <is>
          <t>Единица</t>
        </is>
      </c>
      <c r="D15" s="3" t="inlineStr">
        <is>
          <t>Интерпретация</t>
        </is>
      </c>
    </row>
    <row r="16">
      <c r="A16" s="4" t="inlineStr">
        <is>
          <t>Конверсия контроля</t>
        </is>
      </c>
      <c r="B16" s="20">
        <f>B6/B5</f>
        <v/>
      </c>
      <c r="C16" s="4" t="inlineStr">
        <is>
          <t>доля</t>
        </is>
      </c>
      <c r="D16" s="4" t="inlineStr">
        <is>
          <t>что произошло без воздействия</t>
        </is>
      </c>
    </row>
    <row r="17">
      <c r="A17" s="4" t="inlineStr">
        <is>
          <t>Конверсия воздействия</t>
        </is>
      </c>
      <c r="B17" s="20">
        <f>B8/B7</f>
        <v/>
      </c>
      <c r="C17" s="4" t="inlineStr">
        <is>
          <t>доля</t>
        </is>
      </c>
      <c r="D17" s="4" t="inlineStr">
        <is>
          <t>что произошло в группе воздействия</t>
        </is>
      </c>
    </row>
    <row r="18">
      <c r="A18" s="4" t="inlineStr">
        <is>
          <t>Абсолютный прирост конверсии</t>
        </is>
      </c>
      <c r="B18" s="20">
        <f>B17-B16</f>
        <v/>
      </c>
      <c r="C18" s="4" t="inlineStr">
        <is>
          <t>доля</t>
        </is>
      </c>
      <c r="D18" s="4" t="inlineStr">
        <is>
          <t>оценка дополнительной вероятности оплаты</t>
        </is>
      </c>
    </row>
    <row r="19">
      <c r="A19" s="4" t="inlineStr">
        <is>
          <t>Стандартная ошибка разницы</t>
        </is>
      </c>
      <c r="B19" s="20">
        <f>SQRT(B17*(1-B17)/B7+B16*(1-B16)/B5)</f>
        <v/>
      </c>
      <c r="C19" s="4" t="inlineStr">
        <is>
          <t>доля</t>
        </is>
      </c>
      <c r="D19" s="4" t="inlineStr">
        <is>
          <t>неопределённость оценки</t>
        </is>
      </c>
    </row>
    <row r="20">
      <c r="A20" s="4" t="inlineStr">
        <is>
          <t>Нижняя граница 95% интервала</t>
        </is>
      </c>
      <c r="B20" s="20">
        <f>B18-B12*B19</f>
        <v/>
      </c>
      <c r="C20" s="4" t="inlineStr">
        <is>
          <t>доля</t>
        </is>
      </c>
      <c r="D20" s="4" t="inlineStr">
        <is>
          <t>консервативная граница</t>
        </is>
      </c>
    </row>
    <row r="21">
      <c r="A21" s="4" t="inlineStr">
        <is>
          <t>Верхняя граница 95% интервала</t>
        </is>
      </c>
      <c r="B21" s="20">
        <f>B18+B12*B19</f>
        <v/>
      </c>
      <c r="C21" s="4" t="inlineStr">
        <is>
          <t>доля</t>
        </is>
      </c>
      <c r="D21" s="4" t="inlineStr">
        <is>
          <t>верхняя граница</t>
        </is>
      </c>
    </row>
    <row r="22">
      <c r="A22" s="4" t="inlineStr">
        <is>
          <t>Дополнительные заказы</t>
        </is>
      </c>
      <c r="B22" s="8">
        <f>B18*B7</f>
        <v/>
      </c>
      <c r="C22" s="4" t="inlineStr">
        <is>
          <t>заказы</t>
        </is>
      </c>
      <c r="D22" s="4" t="inlineStr">
        <is>
          <t>дополнительные оплаты в группе воздействия</t>
        </is>
      </c>
    </row>
    <row r="23">
      <c r="A23" s="4" t="inlineStr">
        <is>
          <t>Дополнительная выручка</t>
        </is>
      </c>
      <c r="B23" s="13">
        <f>B22*B9</f>
        <v/>
      </c>
      <c r="C23" s="4" t="inlineStr">
        <is>
          <t>₽</t>
        </is>
      </c>
      <c r="D23" s="4" t="inlineStr">
        <is>
          <t>дополнительные заказы × средний чек</t>
        </is>
      </c>
    </row>
    <row r="24">
      <c r="A24" s="4" t="inlineStr">
        <is>
          <t>Окупаемость по дополнительной выручке</t>
        </is>
      </c>
      <c r="B24" s="20">
        <f>(B23-B10)/B10</f>
        <v/>
      </c>
      <c r="C24" s="4" t="inlineStr">
        <is>
          <t>доля</t>
        </is>
      </c>
      <c r="D24" s="4" t="inlineStr">
        <is>
          <t>не учитывает себестоимость</t>
        </is>
      </c>
    </row>
    <row r="25">
      <c r="A25" s="4" t="inlineStr">
        <is>
          <t>Дополнительная маржа</t>
        </is>
      </c>
      <c r="B25" s="13">
        <f>B23*B11</f>
        <v/>
      </c>
      <c r="C25" s="4" t="inlineStr">
        <is>
          <t>₽</t>
        </is>
      </c>
      <c r="D25" s="4" t="inlineStr">
        <is>
          <t>выручка × доля маржи</t>
        </is>
      </c>
    </row>
    <row r="26">
      <c r="A26" s="4" t="inlineStr">
        <is>
          <t>Окупаемость по дополнительной марже</t>
        </is>
      </c>
      <c r="B26" s="20">
        <f>(B25-B10)/B10</f>
        <v/>
      </c>
      <c r="C26" s="4" t="inlineStr">
        <is>
          <t>доля</t>
        </is>
      </c>
      <c r="D26" s="4" t="inlineStr">
        <is>
          <t>основная экономическая метрика</t>
        </is>
      </c>
    </row>
    <row r="27">
      <c r="A27" s="4" t="inlineStr">
        <is>
          <t>Безубыточная доля маржи</t>
        </is>
      </c>
      <c r="B27" s="20">
        <f>B10/B23</f>
        <v/>
      </c>
      <c r="C27" s="4" t="inlineStr">
        <is>
          <t>доля</t>
        </is>
      </c>
      <c r="D27" s="4" t="inlineStr">
        <is>
          <t>ниже этого уровня кампания убыточна при данном эффекте</t>
        </is>
      </c>
    </row>
    <row r="28">
      <c r="A28" s="4" t="inlineStr">
        <is>
          <t>Безубыточный прирост конверсии</t>
        </is>
      </c>
      <c r="B28" s="20">
        <f>B10/(B7*B9*B11)</f>
        <v/>
      </c>
      <c r="C28" s="4" t="inlineStr">
        <is>
          <t>доля</t>
        </is>
      </c>
      <c r="D28" s="4" t="inlineStr">
        <is>
          <t>минимальный бизнес-эффект при данных затратах</t>
        </is>
      </c>
    </row>
    <row r="29">
      <c r="A29" s="4" t="inlineStr">
        <is>
          <t>Нижняя граница дополнительной выручки</t>
        </is>
      </c>
      <c r="B29" s="13">
        <f>B20*B7*B9</f>
        <v/>
      </c>
      <c r="C29" s="4" t="inlineStr">
        <is>
          <t>₽</t>
        </is>
      </c>
      <c r="D29" s="4" t="inlineStr">
        <is>
          <t>неопределённость причинного эффекта</t>
        </is>
      </c>
    </row>
    <row r="30">
      <c r="A30" s="4" t="inlineStr">
        <is>
          <t>Верхняя граница дополнительной выручки</t>
        </is>
      </c>
      <c r="B30" s="13">
        <f>B21*B7*B9</f>
        <v/>
      </c>
      <c r="C30" s="4" t="inlineStr">
        <is>
          <t>₽</t>
        </is>
      </c>
      <c r="D30" s="4" t="inlineStr">
        <is>
          <t>неопределённость причинного эффекта</t>
        </is>
      </c>
    </row>
    <row r="31">
      <c r="A31" s="4" t="inlineStr">
        <is>
          <t>Нижняя граница окупаемости по марже</t>
        </is>
      </c>
      <c r="B31" s="20">
        <f>(B29*B11-B10)/B10</f>
        <v/>
      </c>
      <c r="C31" s="4" t="inlineStr">
        <is>
          <t>доля</t>
        </is>
      </c>
      <c r="D31" s="4" t="inlineStr">
        <is>
          <t>если ниже нуля, масштабирование ещё рискованно</t>
        </is>
      </c>
    </row>
    <row r="32">
      <c r="A32" s="4" t="inlineStr">
        <is>
          <t>Верхняя граница окупаемости по марже</t>
        </is>
      </c>
      <c r="B32" s="20">
        <f>(B30*B11-B10)/B10</f>
        <v/>
      </c>
      <c r="C32" s="4" t="inlineStr">
        <is>
          <t>доля</t>
        </is>
      </c>
      <c r="D32" s="4" t="inlineStr">
        <is>
          <t>верхняя граница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Сценарный расчёт требуемой выборки</t>
        </is>
      </c>
    </row>
    <row r="2" ht="35" customHeight="1">
      <c r="A2" s="2" t="inlineStr">
        <is>
          <t>Нужен реальный размер доступной аудитории и её базовая конверсия. Таблица не утверждает, что такая аудитория у бизнеса есть.</t>
        </is>
      </c>
    </row>
    <row r="3"/>
    <row r="4">
      <c r="A4" s="11" t="inlineStr">
        <is>
          <t>Уровень значимости</t>
        </is>
      </c>
      <c r="B4" s="21" t="n">
        <v>0.05</v>
      </c>
    </row>
    <row r="5">
      <c r="A5" s="11" t="inlineStr">
        <is>
          <t>Целевая мощность</t>
        </is>
      </c>
      <c r="B5" s="21" t="n">
        <v>0.8</v>
      </c>
    </row>
    <row r="6">
      <c r="A6" s="11" t="inlineStr">
        <is>
          <t>Квантиль уровня значимости</t>
        </is>
      </c>
      <c r="B6" s="22" t="n">
        <v>1.96</v>
      </c>
    </row>
    <row r="7">
      <c r="A7" s="11" t="inlineStr">
        <is>
          <t>Квантиль мощности</t>
        </is>
      </c>
      <c r="B7" s="22" t="n">
        <v>0.84</v>
      </c>
    </row>
    <row r="8"/>
    <row r="9" ht="30" customHeight="1">
      <c r="A9" s="3" t="inlineStr">
        <is>
          <t>Базовая конверсия</t>
        </is>
      </c>
      <c r="B9" s="3" t="inlineStr">
        <is>
          <t>Минимальный абсолютный эффект</t>
        </is>
      </c>
      <c r="C9" s="3" t="inlineStr">
        <is>
          <t>Конверсия воздействия</t>
        </is>
      </c>
      <c r="D9" s="3" t="inlineStr">
        <is>
          <t>Средняя доля</t>
        </is>
      </c>
      <c r="E9" s="3" t="inlineStr">
        <is>
          <t>Пользователей на группу</t>
        </is>
      </c>
      <c r="F9" s="3" t="inlineStr">
        <is>
          <t>Комментарий</t>
        </is>
      </c>
    </row>
    <row r="10">
      <c r="A10" s="9" t="n">
        <v>0.02</v>
      </c>
      <c r="B10" s="9" t="n">
        <v>0.005</v>
      </c>
      <c r="C10" s="9">
        <f>A10+B10</f>
        <v/>
      </c>
      <c r="D10" s="9">
        <f>(A10+C10)/2</f>
        <v/>
      </c>
      <c r="E10" s="4">
        <f>ROUND((($B$6*SQRT(2*D10*(1-D10))+$B$7*SQRT(A10*(1-A10)+C10*(1-C10)))^2)/(B10^2),0)</f>
        <v/>
      </c>
      <c r="F10" s="4" t="inlineStr">
        <is>
          <t>сценарный расчёт; использовать только после оценки реальной базовой конверсии</t>
        </is>
      </c>
    </row>
    <row r="11">
      <c r="A11" s="9" t="n">
        <v>0.02</v>
      </c>
      <c r="B11" s="9" t="n">
        <v>0.01</v>
      </c>
      <c r="C11" s="9">
        <f>A11+B11</f>
        <v/>
      </c>
      <c r="D11" s="9">
        <f>(A11+C11)/2</f>
        <v/>
      </c>
      <c r="E11" s="4">
        <f>ROUND((($B$6*SQRT(2*D11*(1-D11))+$B$7*SQRT(A11*(1-A11)+C11*(1-C11)))^2)/(B11^2),0)</f>
        <v/>
      </c>
      <c r="F11" s="4" t="inlineStr">
        <is>
          <t>сценарный расчёт; использовать только после оценки реальной базовой конверсии</t>
        </is>
      </c>
    </row>
    <row r="12">
      <c r="A12" s="9" t="n">
        <v>0.02</v>
      </c>
      <c r="B12" s="9" t="n">
        <v>0.015</v>
      </c>
      <c r="C12" s="9">
        <f>A12+B12</f>
        <v/>
      </c>
      <c r="D12" s="9">
        <f>(A12+C12)/2</f>
        <v/>
      </c>
      <c r="E12" s="4">
        <f>ROUND((($B$6*SQRT(2*D12*(1-D12))+$B$7*SQRT(A12*(1-A12)+C12*(1-C12)))^2)/(B12^2),0)</f>
        <v/>
      </c>
      <c r="F12" s="4" t="inlineStr">
        <is>
          <t>сценарный расчёт; использовать только после оценки реальной базовой конверсии</t>
        </is>
      </c>
    </row>
    <row r="13">
      <c r="A13" s="9" t="n">
        <v>0.02</v>
      </c>
      <c r="B13" s="9" t="n">
        <v>0.02</v>
      </c>
      <c r="C13" s="9">
        <f>A13+B13</f>
        <v/>
      </c>
      <c r="D13" s="9">
        <f>(A13+C13)/2</f>
        <v/>
      </c>
      <c r="E13" s="4">
        <f>ROUND((($B$6*SQRT(2*D13*(1-D13))+$B$7*SQRT(A13*(1-A13)+C13*(1-C13)))^2)/(B13^2),0)</f>
        <v/>
      </c>
      <c r="F13" s="4" t="inlineStr">
        <is>
          <t>сценарный расчёт; использовать только после оценки реальной базовой конверсии</t>
        </is>
      </c>
    </row>
    <row r="14">
      <c r="A14" s="9" t="n">
        <v>0.05</v>
      </c>
      <c r="B14" s="9" t="n">
        <v>0.005</v>
      </c>
      <c r="C14" s="9">
        <f>A14+B14</f>
        <v/>
      </c>
      <c r="D14" s="9">
        <f>(A14+C14)/2</f>
        <v/>
      </c>
      <c r="E14" s="4">
        <f>ROUND((($B$6*SQRT(2*D14*(1-D14))+$B$7*SQRT(A14*(1-A14)+C14*(1-C14)))^2)/(B14^2),0)</f>
        <v/>
      </c>
      <c r="F14" s="4" t="inlineStr">
        <is>
          <t>сценарный расчёт; использовать только после оценки реальной базовой конверсии</t>
        </is>
      </c>
    </row>
    <row r="15">
      <c r="A15" s="9" t="n">
        <v>0.05</v>
      </c>
      <c r="B15" s="9" t="n">
        <v>0.01</v>
      </c>
      <c r="C15" s="9">
        <f>A15+B15</f>
        <v/>
      </c>
      <c r="D15" s="9">
        <f>(A15+C15)/2</f>
        <v/>
      </c>
      <c r="E15" s="4">
        <f>ROUND((($B$6*SQRT(2*D15*(1-D15))+$B$7*SQRT(A15*(1-A15)+C15*(1-C15)))^2)/(B15^2),0)</f>
        <v/>
      </c>
      <c r="F15" s="4" t="inlineStr">
        <is>
          <t>сценарный расчёт; использовать только после оценки реальной базовой конверсии</t>
        </is>
      </c>
    </row>
    <row r="16">
      <c r="A16" s="9" t="n">
        <v>0.05</v>
      </c>
      <c r="B16" s="9" t="n">
        <v>0.015</v>
      </c>
      <c r="C16" s="9">
        <f>A16+B16</f>
        <v/>
      </c>
      <c r="D16" s="9">
        <f>(A16+C16)/2</f>
        <v/>
      </c>
      <c r="E16" s="4">
        <f>ROUND((($B$6*SQRT(2*D16*(1-D16))+$B$7*SQRT(A16*(1-A16)+C16*(1-C16)))^2)/(B16^2),0)</f>
        <v/>
      </c>
      <c r="F16" s="4" t="inlineStr">
        <is>
          <t>сценарный расчёт; использовать только после оценки реальной базовой конверсии</t>
        </is>
      </c>
    </row>
    <row r="17">
      <c r="A17" s="9" t="n">
        <v>0.05</v>
      </c>
      <c r="B17" s="9" t="n">
        <v>0.02</v>
      </c>
      <c r="C17" s="9">
        <f>A17+B17</f>
        <v/>
      </c>
      <c r="D17" s="9">
        <f>(A17+C17)/2</f>
        <v/>
      </c>
      <c r="E17" s="4">
        <f>ROUND((($B$6*SQRT(2*D17*(1-D17))+$B$7*SQRT(A17*(1-A17)+C17*(1-C17)))^2)/(B17^2),0)</f>
        <v/>
      </c>
      <c r="F17" s="4" t="inlineStr">
        <is>
          <t>сценарный расчёт; использовать только после оценки реальной базовой конверсии</t>
        </is>
      </c>
    </row>
    <row r="18">
      <c r="A18" s="9" t="n">
        <v>0.1</v>
      </c>
      <c r="B18" s="9" t="n">
        <v>0.005</v>
      </c>
      <c r="C18" s="9">
        <f>A18+B18</f>
        <v/>
      </c>
      <c r="D18" s="9">
        <f>(A18+C18)/2</f>
        <v/>
      </c>
      <c r="E18" s="4">
        <f>ROUND((($B$6*SQRT(2*D18*(1-D18))+$B$7*SQRT(A18*(1-A18)+C18*(1-C18)))^2)/(B18^2),0)</f>
        <v/>
      </c>
      <c r="F18" s="4" t="inlineStr">
        <is>
          <t>сценарный расчёт; использовать только после оценки реальной базовой конверсии</t>
        </is>
      </c>
    </row>
    <row r="19">
      <c r="A19" s="9" t="n">
        <v>0.1</v>
      </c>
      <c r="B19" s="9" t="n">
        <v>0.01</v>
      </c>
      <c r="C19" s="9">
        <f>A19+B19</f>
        <v/>
      </c>
      <c r="D19" s="9">
        <f>(A19+C19)/2</f>
        <v/>
      </c>
      <c r="E19" s="4">
        <f>ROUND((($B$6*SQRT(2*D19*(1-D19))+$B$7*SQRT(A19*(1-A19)+C19*(1-C19)))^2)/(B19^2),0)</f>
        <v/>
      </c>
      <c r="F19" s="4" t="inlineStr">
        <is>
          <t>сценарный расчёт; использовать только после оценки реальной базовой конверсии</t>
        </is>
      </c>
    </row>
    <row r="20">
      <c r="A20" s="9" t="n">
        <v>0.1</v>
      </c>
      <c r="B20" s="9" t="n">
        <v>0.015</v>
      </c>
      <c r="C20" s="9">
        <f>A20+B20</f>
        <v/>
      </c>
      <c r="D20" s="9">
        <f>(A20+C20)/2</f>
        <v/>
      </c>
      <c r="E20" s="4">
        <f>ROUND((($B$6*SQRT(2*D20*(1-D20))+$B$7*SQRT(A20*(1-A20)+C20*(1-C20)))^2)/(B20^2),0)</f>
        <v/>
      </c>
      <c r="F20" s="4" t="inlineStr">
        <is>
          <t>сценарный расчёт; использовать только после оценки реальной базовой конверсии</t>
        </is>
      </c>
    </row>
    <row r="21">
      <c r="A21" s="9" t="n">
        <v>0.1</v>
      </c>
      <c r="B21" s="9" t="n">
        <v>0.02</v>
      </c>
      <c r="C21" s="9">
        <f>A21+B21</f>
        <v/>
      </c>
      <c r="D21" s="9">
        <f>(A21+C21)/2</f>
        <v/>
      </c>
      <c r="E21" s="4">
        <f>ROUND((($B$6*SQRT(2*D21*(1-D21))+$B$7*SQRT(A21*(1-A21)+C21*(1-C21)))^2)/(B21^2),0)</f>
        <v/>
      </c>
      <c r="F21" s="4" t="inlineStr">
        <is>
          <t>сценарный расчёт; использовать только после оценки реальной базовой конверсии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Причинное окно для повторных покупок</t>
        </is>
      </c>
    </row>
    <row r="2" ht="35" customHeight="1">
      <c r="A2" s="2" t="inlineStr">
        <is>
          <t>Окно причинного наблюдения может быть длиннее 7-дневного окна атрибуции. В текущей короткой истории все наблюдаемые повторы произошли не позднее 30 дней после предыдущего заказа.</t>
        </is>
      </c>
    </row>
    <row r="3"/>
    <row r="4" ht="30" customHeight="1">
      <c r="A4" s="3" t="inlineStr">
        <is>
          <t>Окно, дней</t>
        </is>
      </c>
      <c r="B4" s="3" t="inlineStr">
        <is>
          <t>Доля повторных заказов</t>
        </is>
      </c>
      <c r="C4" s="3" t="inlineStr">
        <is>
          <t>Доля выручки повторов</t>
        </is>
      </c>
      <c r="D4" s="3" t="inlineStr">
        <is>
          <t>Число повторных заказов</t>
        </is>
      </c>
      <c r="E4" s="3" t="inlineStr">
        <is>
          <t>Ограничение</t>
        </is>
      </c>
    </row>
    <row r="5">
      <c r="A5" s="4" t="n">
        <v>7</v>
      </c>
      <c r="B5" s="9" t="n">
        <v>0.3636363636363636</v>
      </c>
      <c r="C5" s="9" t="n">
        <v>0.358656537385046</v>
      </c>
      <c r="D5" s="4" t="n">
        <v>8</v>
      </c>
      <c r="E5" s="4" t="inlineStr">
        <is>
          <t>история начинается 4 августа; это нижняя граница и усечённое наблюдение</t>
        </is>
      </c>
    </row>
    <row r="6">
      <c r="A6" s="4" t="n">
        <v>14</v>
      </c>
      <c r="B6" s="9" t="n">
        <v>0.5454545454545454</v>
      </c>
      <c r="C6" s="9" t="n">
        <v>0.4900706384113022</v>
      </c>
      <c r="D6" s="4" t="n">
        <v>12</v>
      </c>
      <c r="E6" s="4" t="inlineStr">
        <is>
          <t>история начинается 4 августа; это нижняя граница и усечённое наблюдение</t>
        </is>
      </c>
    </row>
    <row r="7">
      <c r="A7" s="4" t="n">
        <v>21</v>
      </c>
      <c r="B7" s="9" t="n">
        <v>0.6818181818181818</v>
      </c>
      <c r="C7" s="9" t="n">
        <v>0.6110888977742236</v>
      </c>
      <c r="D7" s="4" t="n">
        <v>15</v>
      </c>
      <c r="E7" s="4" t="inlineStr">
        <is>
          <t>история начинается 4 августа; это нижняя граница и усечённое наблюдение</t>
        </is>
      </c>
    </row>
    <row r="8">
      <c r="A8" s="4" t="n">
        <v>30</v>
      </c>
      <c r="B8" s="9" t="n">
        <v>1</v>
      </c>
      <c r="C8" s="9" t="n">
        <v>1</v>
      </c>
      <c r="D8" s="4" t="n">
        <v>22</v>
      </c>
      <c r="E8" s="4" t="inlineStr">
        <is>
          <t>история начинается 4 августа; это нижняя граница и усечённое наблюдение</t>
        </is>
      </c>
    </row>
    <row r="9"/>
    <row r="10"/>
    <row r="11">
      <c r="A11" s="6" t="inlineStr">
        <is>
          <t>Рекомендация</t>
        </is>
      </c>
      <c r="B11" s="11" t="inlineStr">
        <is>
          <t>Основной причинный результат показывать на 7 днях, а дополнительный эффект повторных покупок — отдельным 30-дневным срезом. Не переносить старое рекламное касание автоматически на любой повторный заказ.</t>
        </is>
      </c>
    </row>
    <row r="12"/>
  </sheetData>
  <mergeCells count="3">
    <mergeCell ref="B11:H12"/>
    <mergeCell ref="A2:H2"/>
    <mergeCell ref="A1:H1"/>
  </mergeCells>
  <pageMargins left="0.3" right="0.3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45" customWidth="1" min="10" max="10"/>
  </cols>
  <sheetData>
    <row r="1" ht="28" customHeight="1">
      <c r="A1" s="1" t="inlineStr">
        <is>
          <t>Эксперимент для 20 внешних каналов</t>
        </is>
      </c>
    </row>
    <row r="2" ht="35" customHeight="1">
      <c r="A2" s="2" t="inlineStr">
        <is>
          <t>Без пользовательского контроля внутри публичного канала нельзя честно обещать причинный эффект каждого размещения. Реалистичный дизайн — сопоставленные пары и случайно отложенный запуск для оценки совокупного эффекта кампании.</t>
        </is>
      </c>
    </row>
    <row r="3"/>
    <row r="4" ht="30" customHeight="1">
      <c r="A4" s="3" t="inlineStr">
        <is>
          <t>пара</t>
        </is>
      </c>
      <c r="B4" s="3" t="inlineStr">
        <is>
          <t>кандидат_канал</t>
        </is>
      </c>
      <c r="C4" s="3" t="inlineStr">
        <is>
          <t>назначение</t>
        </is>
      </c>
      <c r="D4" s="3" t="inlineStr">
        <is>
          <t>период_до</t>
        </is>
      </c>
      <c r="E4" s="3" t="inlineStr">
        <is>
          <t>период_оценки</t>
        </is>
      </c>
      <c r="F4" s="3" t="inlineStr">
        <is>
          <t>стоимость</t>
        </is>
      </c>
      <c r="G4" s="3" t="inlineStr">
        <is>
          <t>размер_аудитории</t>
        </is>
      </c>
      <c r="H4" s="3" t="inlineStr">
        <is>
          <t>тематика</t>
        </is>
      </c>
      <c r="I4" s="3" t="inlineStr">
        <is>
          <t>ссылка_отслеживания</t>
        </is>
      </c>
      <c r="J4" s="3" t="inlineStr">
        <is>
          <t>примечание</t>
        </is>
      </c>
    </row>
    <row r="5">
      <c r="A5" s="4" t="n">
        <v>1</v>
      </c>
      <c r="B5" s="4" t="inlineStr">
        <is>
          <t>Канал 01</t>
        </is>
      </c>
      <c r="C5" s="23" t="inlineStr">
        <is>
          <t>раннее размещение</t>
        </is>
      </c>
      <c r="D5" s="4" t="inlineStr">
        <is>
          <t>заполнить до запуска</t>
        </is>
      </c>
      <c r="E5" s="4" t="inlineStr">
        <is>
          <t>7 дней после ранней волны</t>
        </is>
      </c>
      <c r="F5" s="4" t="inlineStr">
        <is>
          <t>заполнить</t>
        </is>
      </c>
      <c r="G5" s="4" t="inlineStr">
        <is>
          <t>заполнить</t>
        </is>
      </c>
      <c r="H5" s="4" t="inlineStr">
        <is>
          <t>заполнить</t>
        </is>
      </c>
      <c r="I5" s="4" t="inlineStr">
        <is>
          <t>создать до оплаты</t>
        </is>
      </c>
      <c r="J5" s="4" t="inlineStr">
        <is>
          <t>шаблон; пары формировать по близким цене, тематике и масштабу</t>
        </is>
      </c>
    </row>
    <row r="6">
      <c r="A6" s="4" t="n">
        <v>1</v>
      </c>
      <c r="B6" s="4" t="inlineStr">
        <is>
          <t>Канал 02</t>
        </is>
      </c>
      <c r="C6" s="24" t="inlineStr">
        <is>
          <t>отложенное размещение</t>
        </is>
      </c>
      <c r="D6" s="4" t="inlineStr">
        <is>
          <t>заполнить до запуска</t>
        </is>
      </c>
      <c r="E6" s="4" t="inlineStr">
        <is>
          <t>7 дней после ранней волны</t>
        </is>
      </c>
      <c r="F6" s="4" t="inlineStr">
        <is>
          <t>заполнить</t>
        </is>
      </c>
      <c r="G6" s="4" t="inlineStr">
        <is>
          <t>заполнить</t>
        </is>
      </c>
      <c r="H6" s="4" t="inlineStr">
        <is>
          <t>заполнить</t>
        </is>
      </c>
      <c r="I6" s="4" t="inlineStr">
        <is>
          <t>создать до оплаты</t>
        </is>
      </c>
      <c r="J6" s="4" t="inlineStr">
        <is>
          <t>шаблон; пары формировать по близким цене, тематике и масштабу</t>
        </is>
      </c>
    </row>
    <row r="7">
      <c r="A7" s="4" t="n">
        <v>2</v>
      </c>
      <c r="B7" s="4" t="inlineStr">
        <is>
          <t>Канал 03</t>
        </is>
      </c>
      <c r="C7" s="23" t="inlineStr">
        <is>
          <t>раннее размещение</t>
        </is>
      </c>
      <c r="D7" s="4" t="inlineStr">
        <is>
          <t>заполнить до запуска</t>
        </is>
      </c>
      <c r="E7" s="4" t="inlineStr">
        <is>
          <t>7 дней после ранней волны</t>
        </is>
      </c>
      <c r="F7" s="4" t="inlineStr">
        <is>
          <t>заполнить</t>
        </is>
      </c>
      <c r="G7" s="4" t="inlineStr">
        <is>
          <t>заполнить</t>
        </is>
      </c>
      <c r="H7" s="4" t="inlineStr">
        <is>
          <t>заполнить</t>
        </is>
      </c>
      <c r="I7" s="4" t="inlineStr">
        <is>
          <t>создать до оплаты</t>
        </is>
      </c>
      <c r="J7" s="4" t="inlineStr">
        <is>
          <t>шаблон; пары формировать по близким цене, тематике и масштабу</t>
        </is>
      </c>
    </row>
    <row r="8">
      <c r="A8" s="4" t="n">
        <v>2</v>
      </c>
      <c r="B8" s="4" t="inlineStr">
        <is>
          <t>Канал 04</t>
        </is>
      </c>
      <c r="C8" s="24" t="inlineStr">
        <is>
          <t>отложенное размещение</t>
        </is>
      </c>
      <c r="D8" s="4" t="inlineStr">
        <is>
          <t>заполнить до запуска</t>
        </is>
      </c>
      <c r="E8" s="4" t="inlineStr">
        <is>
          <t>7 дней после ранней волны</t>
        </is>
      </c>
      <c r="F8" s="4" t="inlineStr">
        <is>
          <t>заполнить</t>
        </is>
      </c>
      <c r="G8" s="4" t="inlineStr">
        <is>
          <t>заполнить</t>
        </is>
      </c>
      <c r="H8" s="4" t="inlineStr">
        <is>
          <t>заполнить</t>
        </is>
      </c>
      <c r="I8" s="4" t="inlineStr">
        <is>
          <t>создать до оплаты</t>
        </is>
      </c>
      <c r="J8" s="4" t="inlineStr">
        <is>
          <t>шаблон; пары формировать по близким цене, тематике и масштабу</t>
        </is>
      </c>
    </row>
    <row r="9">
      <c r="A9" s="4" t="n">
        <v>3</v>
      </c>
      <c r="B9" s="4" t="inlineStr">
        <is>
          <t>Канал 05</t>
        </is>
      </c>
      <c r="C9" s="23" t="inlineStr">
        <is>
          <t>раннее размещение</t>
        </is>
      </c>
      <c r="D9" s="4" t="inlineStr">
        <is>
          <t>заполнить до запуска</t>
        </is>
      </c>
      <c r="E9" s="4" t="inlineStr">
        <is>
          <t>7 дней после ранней волны</t>
        </is>
      </c>
      <c r="F9" s="4" t="inlineStr">
        <is>
          <t>заполнить</t>
        </is>
      </c>
      <c r="G9" s="4" t="inlineStr">
        <is>
          <t>заполнить</t>
        </is>
      </c>
      <c r="H9" s="4" t="inlineStr">
        <is>
          <t>заполнить</t>
        </is>
      </c>
      <c r="I9" s="4" t="inlineStr">
        <is>
          <t>создать до оплаты</t>
        </is>
      </c>
      <c r="J9" s="4" t="inlineStr">
        <is>
          <t>шаблон; пары формировать по близким цене, тематике и масштабу</t>
        </is>
      </c>
    </row>
    <row r="10">
      <c r="A10" s="4" t="n">
        <v>3</v>
      </c>
      <c r="B10" s="4" t="inlineStr">
        <is>
          <t>Канал 06</t>
        </is>
      </c>
      <c r="C10" s="24" t="inlineStr">
        <is>
          <t>отложенное размещение</t>
        </is>
      </c>
      <c r="D10" s="4" t="inlineStr">
        <is>
          <t>заполнить до запуска</t>
        </is>
      </c>
      <c r="E10" s="4" t="inlineStr">
        <is>
          <t>7 дней после ранней волны</t>
        </is>
      </c>
      <c r="F10" s="4" t="inlineStr">
        <is>
          <t>заполнить</t>
        </is>
      </c>
      <c r="G10" s="4" t="inlineStr">
        <is>
          <t>заполнить</t>
        </is>
      </c>
      <c r="H10" s="4" t="inlineStr">
        <is>
          <t>заполнить</t>
        </is>
      </c>
      <c r="I10" s="4" t="inlineStr">
        <is>
          <t>создать до оплаты</t>
        </is>
      </c>
      <c r="J10" s="4" t="inlineStr">
        <is>
          <t>шаблон; пары формировать по близким цене, тематике и масштабу</t>
        </is>
      </c>
    </row>
    <row r="11">
      <c r="A11" s="4" t="n">
        <v>4</v>
      </c>
      <c r="B11" s="4" t="inlineStr">
        <is>
          <t>Канал 07</t>
        </is>
      </c>
      <c r="C11" s="23" t="inlineStr">
        <is>
          <t>раннее размещение</t>
        </is>
      </c>
      <c r="D11" s="4" t="inlineStr">
        <is>
          <t>заполнить до запуска</t>
        </is>
      </c>
      <c r="E11" s="4" t="inlineStr">
        <is>
          <t>7 дней после ранней волны</t>
        </is>
      </c>
      <c r="F11" s="4" t="inlineStr">
        <is>
          <t>заполнить</t>
        </is>
      </c>
      <c r="G11" s="4" t="inlineStr">
        <is>
          <t>заполнить</t>
        </is>
      </c>
      <c r="H11" s="4" t="inlineStr">
        <is>
          <t>заполнить</t>
        </is>
      </c>
      <c r="I11" s="4" t="inlineStr">
        <is>
          <t>создать до оплаты</t>
        </is>
      </c>
      <c r="J11" s="4" t="inlineStr">
        <is>
          <t>шаблон; пары формировать по близким цене, тематике и масштабу</t>
        </is>
      </c>
    </row>
    <row r="12">
      <c r="A12" s="4" t="n">
        <v>4</v>
      </c>
      <c r="B12" s="4" t="inlineStr">
        <is>
          <t>Канал 08</t>
        </is>
      </c>
      <c r="C12" s="24" t="inlineStr">
        <is>
          <t>отложенное размещение</t>
        </is>
      </c>
      <c r="D12" s="4" t="inlineStr">
        <is>
          <t>заполнить до запуска</t>
        </is>
      </c>
      <c r="E12" s="4" t="inlineStr">
        <is>
          <t>7 дней после ранней волны</t>
        </is>
      </c>
      <c r="F12" s="4" t="inlineStr">
        <is>
          <t>заполнить</t>
        </is>
      </c>
      <c r="G12" s="4" t="inlineStr">
        <is>
          <t>заполнить</t>
        </is>
      </c>
      <c r="H12" s="4" t="inlineStr">
        <is>
          <t>заполнить</t>
        </is>
      </c>
      <c r="I12" s="4" t="inlineStr">
        <is>
          <t>создать до оплаты</t>
        </is>
      </c>
      <c r="J12" s="4" t="inlineStr">
        <is>
          <t>шаблон; пары формировать по близким цене, тематике и масштабу</t>
        </is>
      </c>
    </row>
    <row r="13">
      <c r="A13" s="4" t="n">
        <v>5</v>
      </c>
      <c r="B13" s="4" t="inlineStr">
        <is>
          <t>Канал 09</t>
        </is>
      </c>
      <c r="C13" s="24" t="inlineStr">
        <is>
          <t>отложенное размещение</t>
        </is>
      </c>
      <c r="D13" s="4" t="inlineStr">
        <is>
          <t>заполнить до запуска</t>
        </is>
      </c>
      <c r="E13" s="4" t="inlineStr">
        <is>
          <t>7 дней после ранней волны</t>
        </is>
      </c>
      <c r="F13" s="4" t="inlineStr">
        <is>
          <t>заполнить</t>
        </is>
      </c>
      <c r="G13" s="4" t="inlineStr">
        <is>
          <t>заполнить</t>
        </is>
      </c>
      <c r="H13" s="4" t="inlineStr">
        <is>
          <t>заполнить</t>
        </is>
      </c>
      <c r="I13" s="4" t="inlineStr">
        <is>
          <t>создать до оплаты</t>
        </is>
      </c>
      <c r="J13" s="4" t="inlineStr">
        <is>
          <t>шаблон; пары формировать по близким цене, тематике и масштабу</t>
        </is>
      </c>
    </row>
    <row r="14">
      <c r="A14" s="4" t="n">
        <v>5</v>
      </c>
      <c r="B14" s="4" t="inlineStr">
        <is>
          <t>Канал 10</t>
        </is>
      </c>
      <c r="C14" s="23" t="inlineStr">
        <is>
          <t>раннее размещение</t>
        </is>
      </c>
      <c r="D14" s="4" t="inlineStr">
        <is>
          <t>заполнить до запуска</t>
        </is>
      </c>
      <c r="E14" s="4" t="inlineStr">
        <is>
          <t>7 дней после ранней волны</t>
        </is>
      </c>
      <c r="F14" s="4" t="inlineStr">
        <is>
          <t>заполнить</t>
        </is>
      </c>
      <c r="G14" s="4" t="inlineStr">
        <is>
          <t>заполнить</t>
        </is>
      </c>
      <c r="H14" s="4" t="inlineStr">
        <is>
          <t>заполнить</t>
        </is>
      </c>
      <c r="I14" s="4" t="inlineStr">
        <is>
          <t>создать до оплаты</t>
        </is>
      </c>
      <c r="J14" s="4" t="inlineStr">
        <is>
          <t>шаблон; пары формировать по близким цене, тематике и масштабу</t>
        </is>
      </c>
    </row>
    <row r="15">
      <c r="A15" s="4" t="n">
        <v>6</v>
      </c>
      <c r="B15" s="4" t="inlineStr">
        <is>
          <t>Канал 11</t>
        </is>
      </c>
      <c r="C15" s="23" t="inlineStr">
        <is>
          <t>раннее размещение</t>
        </is>
      </c>
      <c r="D15" s="4" t="inlineStr">
        <is>
          <t>заполнить до запуска</t>
        </is>
      </c>
      <c r="E15" s="4" t="inlineStr">
        <is>
          <t>7 дней после ранней волны</t>
        </is>
      </c>
      <c r="F15" s="4" t="inlineStr">
        <is>
          <t>заполнить</t>
        </is>
      </c>
      <c r="G15" s="4" t="inlineStr">
        <is>
          <t>заполнить</t>
        </is>
      </c>
      <c r="H15" s="4" t="inlineStr">
        <is>
          <t>заполнить</t>
        </is>
      </c>
      <c r="I15" s="4" t="inlineStr">
        <is>
          <t>создать до оплаты</t>
        </is>
      </c>
      <c r="J15" s="4" t="inlineStr">
        <is>
          <t>шаблон; пары формировать по близким цене, тематике и масштабу</t>
        </is>
      </c>
    </row>
    <row r="16">
      <c r="A16" s="4" t="n">
        <v>6</v>
      </c>
      <c r="B16" s="4" t="inlineStr">
        <is>
          <t>Канал 12</t>
        </is>
      </c>
      <c r="C16" s="24" t="inlineStr">
        <is>
          <t>отложенное размещение</t>
        </is>
      </c>
      <c r="D16" s="4" t="inlineStr">
        <is>
          <t>заполнить до запуска</t>
        </is>
      </c>
      <c r="E16" s="4" t="inlineStr">
        <is>
          <t>7 дней после ранней волны</t>
        </is>
      </c>
      <c r="F16" s="4" t="inlineStr">
        <is>
          <t>заполнить</t>
        </is>
      </c>
      <c r="G16" s="4" t="inlineStr">
        <is>
          <t>заполнить</t>
        </is>
      </c>
      <c r="H16" s="4" t="inlineStr">
        <is>
          <t>заполнить</t>
        </is>
      </c>
      <c r="I16" s="4" t="inlineStr">
        <is>
          <t>создать до оплаты</t>
        </is>
      </c>
      <c r="J16" s="4" t="inlineStr">
        <is>
          <t>шаблон; пары формировать по близким цене, тематике и масштабу</t>
        </is>
      </c>
    </row>
    <row r="17">
      <c r="A17" s="4" t="n">
        <v>7</v>
      </c>
      <c r="B17" s="4" t="inlineStr">
        <is>
          <t>Канал 13</t>
        </is>
      </c>
      <c r="C17" s="23" t="inlineStr">
        <is>
          <t>раннее размещение</t>
        </is>
      </c>
      <c r="D17" s="4" t="inlineStr">
        <is>
          <t>заполнить до запуска</t>
        </is>
      </c>
      <c r="E17" s="4" t="inlineStr">
        <is>
          <t>7 дней после ранней волны</t>
        </is>
      </c>
      <c r="F17" s="4" t="inlineStr">
        <is>
          <t>заполнить</t>
        </is>
      </c>
      <c r="G17" s="4" t="inlineStr">
        <is>
          <t>заполнить</t>
        </is>
      </c>
      <c r="H17" s="4" t="inlineStr">
        <is>
          <t>заполнить</t>
        </is>
      </c>
      <c r="I17" s="4" t="inlineStr">
        <is>
          <t>создать до оплаты</t>
        </is>
      </c>
      <c r="J17" s="4" t="inlineStr">
        <is>
          <t>шаблон; пары формировать по близким цене, тематике и масштабу</t>
        </is>
      </c>
    </row>
    <row r="18">
      <c r="A18" s="4" t="n">
        <v>7</v>
      </c>
      <c r="B18" s="4" t="inlineStr">
        <is>
          <t>Канал 14</t>
        </is>
      </c>
      <c r="C18" s="24" t="inlineStr">
        <is>
          <t>отложенное размещение</t>
        </is>
      </c>
      <c r="D18" s="4" t="inlineStr">
        <is>
          <t>заполнить до запуска</t>
        </is>
      </c>
      <c r="E18" s="4" t="inlineStr">
        <is>
          <t>7 дней после ранней волны</t>
        </is>
      </c>
      <c r="F18" s="4" t="inlineStr">
        <is>
          <t>заполнить</t>
        </is>
      </c>
      <c r="G18" s="4" t="inlineStr">
        <is>
          <t>заполнить</t>
        </is>
      </c>
      <c r="H18" s="4" t="inlineStr">
        <is>
          <t>заполнить</t>
        </is>
      </c>
      <c r="I18" s="4" t="inlineStr">
        <is>
          <t>создать до оплаты</t>
        </is>
      </c>
      <c r="J18" s="4" t="inlineStr">
        <is>
          <t>шаблон; пары формировать по близким цене, тематике и масштабу</t>
        </is>
      </c>
    </row>
    <row r="19">
      <c r="A19" s="4" t="n">
        <v>8</v>
      </c>
      <c r="B19" s="4" t="inlineStr">
        <is>
          <t>Канал 15</t>
        </is>
      </c>
      <c r="C19" s="23" t="inlineStr">
        <is>
          <t>раннее размещение</t>
        </is>
      </c>
      <c r="D19" s="4" t="inlineStr">
        <is>
          <t>заполнить до запуска</t>
        </is>
      </c>
      <c r="E19" s="4" t="inlineStr">
        <is>
          <t>7 дней после ранней волны</t>
        </is>
      </c>
      <c r="F19" s="4" t="inlineStr">
        <is>
          <t>заполнить</t>
        </is>
      </c>
      <c r="G19" s="4" t="inlineStr">
        <is>
          <t>заполнить</t>
        </is>
      </c>
      <c r="H19" s="4" t="inlineStr">
        <is>
          <t>заполнить</t>
        </is>
      </c>
      <c r="I19" s="4" t="inlineStr">
        <is>
          <t>создать до оплаты</t>
        </is>
      </c>
      <c r="J19" s="4" t="inlineStr">
        <is>
          <t>шаблон; пары формировать по близким цене, тематике и масштабу</t>
        </is>
      </c>
    </row>
    <row r="20">
      <c r="A20" s="4" t="n">
        <v>8</v>
      </c>
      <c r="B20" s="4" t="inlineStr">
        <is>
          <t>Канал 16</t>
        </is>
      </c>
      <c r="C20" s="24" t="inlineStr">
        <is>
          <t>отложенное размещение</t>
        </is>
      </c>
      <c r="D20" s="4" t="inlineStr">
        <is>
          <t>заполнить до запуска</t>
        </is>
      </c>
      <c r="E20" s="4" t="inlineStr">
        <is>
          <t>7 дней после ранней волны</t>
        </is>
      </c>
      <c r="F20" s="4" t="inlineStr">
        <is>
          <t>заполнить</t>
        </is>
      </c>
      <c r="G20" s="4" t="inlineStr">
        <is>
          <t>заполнить</t>
        </is>
      </c>
      <c r="H20" s="4" t="inlineStr">
        <is>
          <t>заполнить</t>
        </is>
      </c>
      <c r="I20" s="4" t="inlineStr">
        <is>
          <t>создать до оплаты</t>
        </is>
      </c>
      <c r="J20" s="4" t="inlineStr">
        <is>
          <t>шаблон; пары формировать по близким цене, тематике и масштабу</t>
        </is>
      </c>
    </row>
    <row r="21">
      <c r="A21" s="4" t="n">
        <v>9</v>
      </c>
      <c r="B21" s="4" t="inlineStr">
        <is>
          <t>Канал 17</t>
        </is>
      </c>
      <c r="C21" s="24" t="inlineStr">
        <is>
          <t>отложенное размещение</t>
        </is>
      </c>
      <c r="D21" s="4" t="inlineStr">
        <is>
          <t>заполнить до запуска</t>
        </is>
      </c>
      <c r="E21" s="4" t="inlineStr">
        <is>
          <t>7 дней после ранней волны</t>
        </is>
      </c>
      <c r="F21" s="4" t="inlineStr">
        <is>
          <t>заполнить</t>
        </is>
      </c>
      <c r="G21" s="4" t="inlineStr">
        <is>
          <t>заполнить</t>
        </is>
      </c>
      <c r="H21" s="4" t="inlineStr">
        <is>
          <t>заполнить</t>
        </is>
      </c>
      <c r="I21" s="4" t="inlineStr">
        <is>
          <t>создать до оплаты</t>
        </is>
      </c>
      <c r="J21" s="4" t="inlineStr">
        <is>
          <t>шаблон; пары формировать по близким цене, тематике и масштабу</t>
        </is>
      </c>
    </row>
    <row r="22">
      <c r="A22" s="4" t="n">
        <v>9</v>
      </c>
      <c r="B22" s="4" t="inlineStr">
        <is>
          <t>Канал 18</t>
        </is>
      </c>
      <c r="C22" s="23" t="inlineStr">
        <is>
          <t>раннее размещение</t>
        </is>
      </c>
      <c r="D22" s="4" t="inlineStr">
        <is>
          <t>заполнить до запуска</t>
        </is>
      </c>
      <c r="E22" s="4" t="inlineStr">
        <is>
          <t>7 дней после ранней волны</t>
        </is>
      </c>
      <c r="F22" s="4" t="inlineStr">
        <is>
          <t>заполнить</t>
        </is>
      </c>
      <c r="G22" s="4" t="inlineStr">
        <is>
          <t>заполнить</t>
        </is>
      </c>
      <c r="H22" s="4" t="inlineStr">
        <is>
          <t>заполнить</t>
        </is>
      </c>
      <c r="I22" s="4" t="inlineStr">
        <is>
          <t>создать до оплаты</t>
        </is>
      </c>
      <c r="J22" s="4" t="inlineStr">
        <is>
          <t>шаблон; пары формировать по близким цене, тематике и масштабу</t>
        </is>
      </c>
    </row>
    <row r="23">
      <c r="A23" s="4" t="n">
        <v>10</v>
      </c>
      <c r="B23" s="4" t="inlineStr">
        <is>
          <t>Канал 19</t>
        </is>
      </c>
      <c r="C23" s="23" t="inlineStr">
        <is>
          <t>раннее размещение</t>
        </is>
      </c>
      <c r="D23" s="4" t="inlineStr">
        <is>
          <t>заполнить до запуска</t>
        </is>
      </c>
      <c r="E23" s="4" t="inlineStr">
        <is>
          <t>7 дней после ранней волны</t>
        </is>
      </c>
      <c r="F23" s="4" t="inlineStr">
        <is>
          <t>заполнить</t>
        </is>
      </c>
      <c r="G23" s="4" t="inlineStr">
        <is>
          <t>заполнить</t>
        </is>
      </c>
      <c r="H23" s="4" t="inlineStr">
        <is>
          <t>заполнить</t>
        </is>
      </c>
      <c r="I23" s="4" t="inlineStr">
        <is>
          <t>создать до оплаты</t>
        </is>
      </c>
      <c r="J23" s="4" t="inlineStr">
        <is>
          <t>шаблон; пары формировать по близким цене, тематике и масштабу</t>
        </is>
      </c>
    </row>
    <row r="24">
      <c r="A24" s="4" t="n">
        <v>10</v>
      </c>
      <c r="B24" s="4" t="inlineStr">
        <is>
          <t>Канал 20</t>
        </is>
      </c>
      <c r="C24" s="24" t="inlineStr">
        <is>
          <t>отложенное размещение</t>
        </is>
      </c>
      <c r="D24" s="4" t="inlineStr">
        <is>
          <t>заполнить до запуска</t>
        </is>
      </c>
      <c r="E24" s="4" t="inlineStr">
        <is>
          <t>7 дней после ранней волны</t>
        </is>
      </c>
      <c r="F24" s="4" t="inlineStr">
        <is>
          <t>заполнить</t>
        </is>
      </c>
      <c r="G24" s="4" t="inlineStr">
        <is>
          <t>заполнить</t>
        </is>
      </c>
      <c r="H24" s="4" t="inlineStr">
        <is>
          <t>заполнить</t>
        </is>
      </c>
      <c r="I24" s="4" t="inlineStr">
        <is>
          <t>создать до оплаты</t>
        </is>
      </c>
      <c r="J24" s="4" t="inlineStr">
        <is>
          <t>шаблон; пары формировать по близким цене, тематике и масштабу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Рекомендуемый причинный дизайн</t>
        </is>
      </c>
    </row>
    <row r="2"/>
    <row r="3"/>
    <row r="4" ht="30" customHeight="1">
      <c r="A4" s="3" t="inlineStr">
        <is>
          <t>Контур</t>
        </is>
      </c>
      <c r="B4" s="3" t="inlineStr">
        <is>
          <t>Дизайн</t>
        </is>
      </c>
      <c r="C4" s="3" t="inlineStr">
        <is>
          <t>Единица случайного назначения</t>
        </is>
      </c>
      <c r="D4" s="3" t="inlineStr">
        <is>
          <t>Основная метрика</t>
        </is>
      </c>
      <c r="E4" s="3" t="inlineStr">
        <is>
          <t>Окно</t>
        </is>
      </c>
      <c r="F4" s="3" t="inlineStr">
        <is>
          <t>Что оцениваем</t>
        </is>
      </c>
      <c r="G4" s="3" t="inlineStr">
        <is>
          <t>Главный риск</t>
        </is>
      </c>
    </row>
    <row r="5">
      <c r="A5" s="4" t="inlineStr">
        <is>
          <t>Собственный бот и управляемая аудитория</t>
        </is>
      </c>
      <c r="B5" s="4" t="inlineStr">
        <is>
          <t>случайное разделение на воздействие и контроль</t>
        </is>
      </c>
      <c r="C5" s="4" t="inlineStr">
        <is>
          <t>пользователь</t>
        </is>
      </c>
      <c r="D5" s="4" t="inlineStr">
        <is>
          <t>оплаченный заказ и дополнительная маржа</t>
        </is>
      </c>
      <c r="E5" s="4" t="inlineStr">
        <is>
          <t>7 дней + 30 дней для повторов</t>
        </is>
      </c>
      <c r="F5" s="4" t="inlineStr">
        <is>
          <t>причинный эффект сообщения, оффера или скидки</t>
        </is>
      </c>
      <c r="G5" s="4" t="inlineStr">
        <is>
          <t>перетекание информации между пользователями</t>
        </is>
      </c>
    </row>
    <row r="6">
      <c r="A6" s="4" t="inlineStr">
        <is>
          <t>Внешние каналы, следующий запуск</t>
        </is>
      </c>
      <c r="B6" s="4" t="inlineStr">
        <is>
          <t>сопоставленные пары каналов + случайно раннее или отложенное размещение</t>
        </is>
      </c>
      <c r="C6" s="4" t="inlineStr">
        <is>
          <t>канал как группа</t>
        </is>
      </c>
      <c r="D6" s="4" t="inlineStr">
        <is>
          <t>совокупные оплаченные заказы и маржа бизнеса</t>
        </is>
      </c>
      <c r="E6" s="4" t="inlineStr">
        <is>
          <t>7 дней после ранней волны</t>
        </is>
      </c>
      <c r="F6" s="4" t="inlineStr">
        <is>
          <t>совокупный эффект пакета внешних размещений</t>
        </is>
      </c>
      <c r="G6" s="4" t="inlineStr">
        <is>
          <t>пересечение аудиторий и мало групп</t>
        </is>
      </c>
    </row>
    <row r="7">
      <c r="A7" s="4" t="inlineStr">
        <is>
          <t>Исторические события</t>
        </is>
      </c>
      <c r="B7" s="4" t="inlineStr">
        <is>
          <t>не использовать как основной причинный дизайн</t>
        </is>
      </c>
      <c r="C7" s="4" t="inlineStr">
        <is>
          <t>нет случайного назначения</t>
        </is>
      </c>
      <c r="D7" s="4" t="inlineStr">
        <is>
          <t>только описательные продажи и выручка</t>
        </is>
      </c>
      <c r="E7" s="4" t="inlineStr">
        <is>
          <t>окна вокруг событий</t>
        </is>
      </c>
      <c r="F7" s="4" t="inlineStr">
        <is>
          <t>гипотезы о сильных промо</t>
        </is>
      </c>
      <c r="G7" s="4" t="inlineStr">
        <is>
          <t>другие одновременные акции, тренд, сезонность</t>
        </is>
      </c>
    </row>
    <row r="8"/>
    <row r="9"/>
    <row r="10">
      <c r="A10" s="3" t="inlineStr">
        <is>
          <t>Последовательность</t>
        </is>
      </c>
    </row>
    <row r="11" ht="28" customHeight="1">
      <c r="A11" s="11" t="inlineStr">
        <is>
          <t>1. До запуска зафиксировать гипотезу, основную метрику и окно.</t>
        </is>
      </c>
    </row>
    <row r="12" ht="28" customHeight="1">
      <c r="A12" s="11" t="inlineStr">
        <is>
          <t>2. До оплаты размещений создать идентификаторы, ссылки и стоимость.</t>
        </is>
      </c>
    </row>
    <row r="13" ht="28" customHeight="1">
      <c r="A13" s="11" t="inlineStr">
        <is>
          <t>3. Случайное назначение выполнить до публикации и не менять задним числом.</t>
        </is>
      </c>
    </row>
    <row r="14" ht="28" customHeight="1">
      <c r="A14" s="11" t="inlineStr">
        <is>
          <t>4. На время причинного окна держать собственные крупные промо одинаковыми для сравниваемых групп или отдельно случайно назначать их.</t>
        </is>
      </c>
    </row>
    <row r="15" ht="28" customHeight="1">
      <c r="A15" s="11" t="inlineStr">
        <is>
          <t>5. Сначала оценить разницу между назначенными группами; затем перевести её в дополнительные заказы, выручку и маржу.</t>
        </is>
      </c>
    </row>
    <row r="16" ht="28" customHeight="1">
      <c r="A16" s="11" t="inlineStr">
        <is>
          <t>6. Показывать доверительный интервал и бизнес-порог безубыточности.</t>
        </is>
      </c>
    </row>
    <row r="17" ht="28" customHeight="1">
      <c r="A17" s="11" t="inlineStr">
        <is>
          <t>7. После 7 дней принять первое решение; через 30 дней обновить вывод с повторными покупками.</t>
        </is>
      </c>
    </row>
  </sheetData>
  <mergeCells count="8">
    <mergeCell ref="A13:G13"/>
    <mergeCell ref="A14:G14"/>
    <mergeCell ref="A17:G17"/>
    <mergeCell ref="A12:G12"/>
    <mergeCell ref="A16:G16"/>
    <mergeCell ref="A15:G15"/>
    <mergeCell ref="A1:H1"/>
    <mergeCell ref="A11:G11"/>
  </mergeCells>
  <pageMargins left="0.3" right="0.3" top="1" bottom="1" header="0.5" footer="0.5"/>
  <pageSetup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Что включать в расчёт окупаемости</t>
        </is>
      </c>
    </row>
    <row r="2" ht="35" customHeight="1">
      <c r="A2" s="2" t="inlineStr">
        <is>
          <t>Чтобы не получить красивую, но экономически неверную цифру, стоимость и маржу нужно определить до запуска.</t>
        </is>
      </c>
    </row>
    <row r="3"/>
    <row r="4" ht="30" customHeight="1">
      <c r="A4" s="3" t="inlineStr">
        <is>
          <t>Компонент</t>
        </is>
      </c>
      <c r="B4" s="3" t="inlineStr">
        <is>
          <t>Как учитывать</t>
        </is>
      </c>
      <c r="C4" s="3" t="inlineStr">
        <is>
          <t>Почему</t>
        </is>
      </c>
    </row>
    <row r="5">
      <c r="A5" s="4" t="inlineStr">
        <is>
          <t>Стоимость внешнего размещения</t>
        </is>
      </c>
      <c r="B5" s="4" t="inlineStr">
        <is>
          <t>в маркетинговые затраты полностью</t>
        </is>
      </c>
      <c r="C5" s="4" t="inlineStr">
        <is>
          <t>непосредственно покупается ради кампании</t>
        </is>
      </c>
    </row>
    <row r="6">
      <c r="A6" s="4" t="inlineStr">
        <is>
          <t>Партнёрская или реферальная выплата</t>
        </is>
      </c>
      <c r="B6" s="4" t="inlineStr">
        <is>
          <t>в маркетинговые затраты по факту выплаты</t>
        </is>
      </c>
      <c r="C6" s="4" t="inlineStr">
        <is>
          <t>переменная стоимость привлечения</t>
        </is>
      </c>
    </row>
    <row r="7">
      <c r="A7" s="4" t="inlineStr">
        <is>
          <t>Скидка</t>
        </is>
      </c>
      <c r="B7" s="4" t="inlineStr">
        <is>
          <t>обычно уже отражена в фактической цене и выручке; не вычитать второй раз</t>
        </is>
      </c>
      <c r="C7" s="4" t="inlineStr">
        <is>
          <t>иначе возникает двойной учёт</t>
        </is>
      </c>
    </row>
    <row r="8">
      <c r="A8" s="4" t="inlineStr">
        <is>
          <t>Комиссия платёжной системы</t>
        </is>
      </c>
      <c r="B8" s="4" t="inlineStr">
        <is>
          <t>в переменные расходы и долю маржи</t>
        </is>
      </c>
      <c r="C8" s="4" t="inlineStr">
        <is>
          <t>зависит от оплаченного заказа</t>
        </is>
      </c>
    </row>
    <row r="9">
      <c r="A9" s="4" t="inlineStr">
        <is>
          <t>Переменная комиссия менеджера</t>
        </is>
      </c>
      <c r="B9" s="4" t="inlineStr">
        <is>
          <t>в переменные расходы, если возникает из-за дополнительной продажи</t>
        </is>
      </c>
      <c r="C9" s="4" t="inlineStr">
        <is>
          <t>нужна для дополнительной маржи</t>
        </is>
      </c>
    </row>
    <row r="10">
      <c r="A10" s="4" t="inlineStr">
        <is>
          <t>Фиксированная зарплата команды</t>
        </is>
      </c>
      <c r="B10" s="4" t="inlineStr">
        <is>
          <t>не включать в краткосрочную окупаемость, если не меняется из-за кампании</t>
        </is>
      </c>
      <c r="C10" s="4" t="inlineStr">
        <is>
          <t>это не дополнительная стоимость решения</t>
        </is>
      </c>
    </row>
    <row r="11">
      <c r="A11" s="4" t="inlineStr">
        <is>
          <t>Производство креатива</t>
        </is>
      </c>
      <c r="B11" s="4" t="inlineStr">
        <is>
          <t>включать, если расход возник специально для кампании; общие расходы распределять заранее по правилу</t>
        </is>
      </c>
      <c r="C11" s="4" t="inlineStr">
        <is>
          <t>нельзя менять правило после просмотра результатов</t>
        </is>
      </c>
    </row>
    <row r="12"/>
    <row r="13"/>
    <row r="14"/>
    <row r="15" ht="30" customHeight="1">
      <c r="A15" s="3" t="inlineStr">
        <is>
          <t>Метрика</t>
        </is>
      </c>
      <c r="B15" s="3" t="inlineStr">
        <is>
          <t>Определение</t>
        </is>
      </c>
      <c r="C15" s="3" t="inlineStr">
        <is>
          <t>Назначение</t>
        </is>
      </c>
    </row>
    <row r="16">
      <c r="A16" s="4" t="inlineStr">
        <is>
          <t>Атрибуционная окупаемость по выручке</t>
        </is>
      </c>
      <c r="B16" s="4" t="inlineStr">
        <is>
          <t>(атрибутированная выручка − маркетинговые затраты) / маркетинговые затраты</t>
        </is>
      </c>
      <c r="C16" s="4" t="inlineStr">
        <is>
          <t>операционное сравнение источников</t>
        </is>
      </c>
    </row>
    <row r="17">
      <c r="A17" s="4" t="inlineStr">
        <is>
          <t>Атрибуционная окупаемость по марже</t>
        </is>
      </c>
      <c r="B17" s="4" t="inlineStr">
        <is>
          <t>(атрибутированная маржа − маркетинговые затраты) / маркетинговые затраты</t>
        </is>
      </c>
      <c r="C17" s="4" t="inlineStr">
        <is>
          <t>более строгий операционный показатель</t>
        </is>
      </c>
    </row>
    <row r="18">
      <c r="A18" s="4" t="inlineStr">
        <is>
          <t>Причинная окупаемость по выручке</t>
        </is>
      </c>
      <c r="B18" s="4" t="inlineStr">
        <is>
          <t>(дополнительная выручка − маркетинговые затраты) / маркетинговые затраты</t>
        </is>
      </c>
      <c r="C18" s="4" t="inlineStr">
        <is>
          <t>понимание, окупилась ли реклама как причина продаж</t>
        </is>
      </c>
    </row>
    <row r="19">
      <c r="A19" s="4" t="inlineStr">
        <is>
          <t>Причинная окупаемость по марже</t>
        </is>
      </c>
      <c r="B19" s="4" t="inlineStr">
        <is>
          <t>(дополнительная маржа − маркетинговые затраты) / маркетинговые затраты</t>
        </is>
      </c>
      <c r="C19" s="4" t="inlineStr">
        <is>
          <t>основная рекомендуемая бизнес-метрика</t>
        </is>
      </c>
    </row>
  </sheetData>
  <mergeCells count="2">
    <mergeCell ref="A2:H2"/>
    <mergeCell ref="A1:H1"/>
  </mergeCells>
  <pageMargins left="0.3" right="0.3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Чувствительность причинной окупаемости к марже</t>
        </is>
      </c>
    </row>
    <row r="2" ht="35" customHeight="1">
      <c r="A2" s="2" t="inlineStr">
        <is>
          <t>Синтетический пример: дополнительная выручка 537 000 ₽ и маркетинговые затраты 300 000 ₽. Фактическая маржа бизнеса в исходных данных отсутствует.</t>
        </is>
      </c>
    </row>
    <row r="3"/>
    <row r="4">
      <c r="A4" s="11" t="inlineStr">
        <is>
          <t>Дополнительная выручка</t>
        </is>
      </c>
      <c r="B4" s="25" t="n">
        <v>537000</v>
      </c>
    </row>
    <row r="5">
      <c r="A5" s="11" t="inlineStr">
        <is>
          <t>Маркетинговые затраты</t>
        </is>
      </c>
      <c r="B5" s="25" t="n">
        <v>300000</v>
      </c>
    </row>
    <row r="6"/>
    <row r="7" ht="30" customHeight="1">
      <c r="A7" s="3" t="inlineStr">
        <is>
          <t>Доля маржи</t>
        </is>
      </c>
      <c r="B7" s="3" t="inlineStr">
        <is>
          <t>Дополнительная маржа, ₽</t>
        </is>
      </c>
      <c r="C7" s="3" t="inlineStr">
        <is>
          <t>Причинная окупаемость</t>
        </is>
      </c>
    </row>
    <row r="8">
      <c r="A8" s="26" t="n">
        <v>0.3</v>
      </c>
      <c r="B8" s="27">
        <f>$B$4*A8</f>
        <v/>
      </c>
      <c r="C8" s="28">
        <f>(B8-$B$5)/$B$5</f>
        <v/>
      </c>
    </row>
    <row r="9">
      <c r="A9" s="26" t="n">
        <v>0.35</v>
      </c>
      <c r="B9" s="27">
        <f>$B$4*A9</f>
        <v/>
      </c>
      <c r="C9" s="28">
        <f>(B9-$B$5)/$B$5</f>
        <v/>
      </c>
    </row>
    <row r="10">
      <c r="A10" s="26" t="n">
        <v>0.4</v>
      </c>
      <c r="B10" s="27">
        <f>$B$4*A10</f>
        <v/>
      </c>
      <c r="C10" s="28">
        <f>(B10-$B$5)/$B$5</f>
        <v/>
      </c>
    </row>
    <row r="11">
      <c r="A11" s="26" t="n">
        <v>0.45</v>
      </c>
      <c r="B11" s="27">
        <f>$B$4*A11</f>
        <v/>
      </c>
      <c r="C11" s="28">
        <f>(B11-$B$5)/$B$5</f>
        <v/>
      </c>
    </row>
    <row r="12">
      <c r="A12" s="26" t="n">
        <v>0.5</v>
      </c>
      <c r="B12" s="27">
        <f>$B$4*A12</f>
        <v/>
      </c>
      <c r="C12" s="28">
        <f>(B12-$B$5)/$B$5</f>
        <v/>
      </c>
    </row>
    <row r="13">
      <c r="A13" s="26" t="n">
        <v>0.55</v>
      </c>
      <c r="B13" s="27">
        <f>$B$4*A13</f>
        <v/>
      </c>
      <c r="C13" s="28">
        <f>(B13-$B$5)/$B$5</f>
        <v/>
      </c>
    </row>
    <row r="14">
      <c r="A14" s="26" t="n">
        <v>0.6</v>
      </c>
      <c r="B14" s="27">
        <f>$B$4*A14</f>
        <v/>
      </c>
      <c r="C14" s="28">
        <f>(B14-$B$5)/$B$5</f>
        <v/>
      </c>
    </row>
    <row r="15">
      <c r="A15" s="26" t="n">
        <v>0.65</v>
      </c>
      <c r="B15" s="27">
        <f>$B$4*A15</f>
        <v/>
      </c>
      <c r="C15" s="28">
        <f>(B15-$B$5)/$B$5</f>
        <v/>
      </c>
    </row>
    <row r="16">
      <c r="A16" s="26" t="n">
        <v>0.7</v>
      </c>
      <c r="B16" s="27">
        <f>$B$4*A16</f>
        <v/>
      </c>
      <c r="C16" s="28">
        <f>(B16-$B$5)/$B$5</f>
        <v/>
      </c>
    </row>
    <row r="17">
      <c r="A17" s="26" t="n">
        <v>0.75</v>
      </c>
      <c r="B17" s="27">
        <f>$B$4*A17</f>
        <v/>
      </c>
      <c r="C17" s="28">
        <f>(B17-$B$5)/$B$5</f>
        <v/>
      </c>
    </row>
    <row r="18">
      <c r="A18" s="26" t="n">
        <v>0.8</v>
      </c>
      <c r="B18" s="27">
        <f>$B$4*A18</f>
        <v/>
      </c>
      <c r="C18" s="28">
        <f>(B18-$B$5)/$B$5</f>
        <v/>
      </c>
    </row>
    <row r="19">
      <c r="A19" s="26" t="n">
        <v>0.85</v>
      </c>
      <c r="B19" s="27">
        <f>$B$4*A19</f>
        <v/>
      </c>
      <c r="C19" s="28">
        <f>(B19-$B$5)/$B$5</f>
        <v/>
      </c>
    </row>
    <row r="20">
      <c r="A20" s="26" t="n">
        <v>0.9</v>
      </c>
      <c r="B20" s="27">
        <f>$B$4*A20</f>
        <v/>
      </c>
      <c r="C20" s="28">
        <f>(B20-$B$5)/$B$5</f>
        <v/>
      </c>
    </row>
    <row r="21">
      <c r="A21" s="26" t="n">
        <v>0.95</v>
      </c>
      <c r="B21" s="27">
        <f>$B$4*A21</f>
        <v/>
      </c>
      <c r="C21" s="28">
        <f>(B21-$B$5)/$B$5</f>
        <v/>
      </c>
    </row>
    <row r="22">
      <c r="A22" s="26" t="n">
        <v>1</v>
      </c>
      <c r="B22" s="27">
        <f>$B$4*A22</f>
        <v/>
      </c>
      <c r="C22" s="28">
        <f>(B22-$B$5)/$B$5</f>
        <v/>
      </c>
    </row>
  </sheetData>
  <mergeCells count="2">
    <mergeCell ref="A2:H2"/>
    <mergeCell ref="A1:H1"/>
  </mergeCells>
  <pageMargins left="0.3" right="0.3" top="1" bottom="1" header="0.5" footer="0.5"/>
  <pageSetup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Как принимать решение по следующим 300 000 ₽</t>
        </is>
      </c>
    </row>
    <row r="2" ht="35" customHeight="1">
      <c r="A2" s="2" t="inlineStr">
        <is>
          <t>Это не выбор конкретного канала: это правило, когда расширять, повторять или останавливать расходы.</t>
        </is>
      </c>
    </row>
    <row r="3"/>
    <row r="4" ht="30" customHeight="1">
      <c r="A4" s="3" t="inlineStr">
        <is>
          <t>Состояние</t>
        </is>
      </c>
      <c r="B4" s="3" t="inlineStr">
        <is>
          <t>Условие</t>
        </is>
      </c>
      <c r="C4" s="3" t="inlineStr">
        <is>
          <t>Действие с оставшимся бюджетом</t>
        </is>
      </c>
      <c r="D4" s="3" t="inlineStr">
        <is>
          <t>Комментарий</t>
        </is>
      </c>
    </row>
    <row r="5">
      <c r="A5" s="4" t="inlineStr">
        <is>
          <t>Масштабировать</t>
        </is>
      </c>
      <c r="B5" s="4" t="inlineStr">
        <is>
          <t>нижняя граница причинной окупаемости по марже выше нуля и измерение источника устойчиво</t>
        </is>
      </c>
      <c r="C5" s="4" t="inlineStr">
        <is>
          <t>увеличить долю бюджета победившего контура, сохранив часть на повторную проверку</t>
        </is>
      </c>
      <c r="D5" s="4" t="inlineStr">
        <is>
          <t>самый строгий режим</t>
        </is>
      </c>
    </row>
    <row r="6">
      <c r="A6" s="4" t="inlineStr">
        <is>
          <t>Осторожно продолжить</t>
        </is>
      </c>
      <c r="B6" s="4" t="inlineStr">
        <is>
          <t>точечная причинная окупаемость положительна, но интервал включает ноль</t>
        </is>
      </c>
      <c r="C6" s="4" t="inlineStr">
        <is>
          <t>не масштабировать резко; повторить эксперимент или увеличить выборку</t>
        </is>
      </c>
      <c r="D6" s="4" t="inlineStr">
        <is>
          <t>синтетический пример этапа 6 находится именно здесь</t>
        </is>
      </c>
    </row>
    <row r="7">
      <c r="A7" s="4" t="inlineStr">
        <is>
          <t>Остановить</t>
        </is>
      </c>
      <c r="B7" s="4" t="inlineStr">
        <is>
          <t>верхняя граница причинной окупаемости ниже нуля</t>
        </is>
      </c>
      <c r="C7" s="4" t="inlineStr">
        <is>
          <t>не докупать такой контур до изменения цены, оффера или креатива</t>
        </is>
      </c>
      <c r="D7" s="4" t="inlineStr">
        <is>
          <t>есть статистические и экономические основания остановки</t>
        </is>
      </c>
    </row>
    <row r="8">
      <c r="A8" s="4" t="inlineStr">
        <is>
          <t>Диагностировать</t>
        </is>
      </c>
      <c r="B8" s="4" t="inlineStr">
        <is>
          <t>атрибуционная окупаемость отрицательна, но причинный эксперимент ещё не завершён</t>
        </is>
      </c>
      <c r="C8" s="4" t="inlineStr">
        <is>
          <t>проверить трекинг, стоимость, креатив и дождаться причинного результата</t>
        </is>
      </c>
      <c r="D8" s="4" t="inlineStr">
        <is>
          <t>атрибуция и причинность отвечают на разные вопросы</t>
        </is>
      </c>
    </row>
    <row r="9">
      <c r="A9" s="4" t="inlineStr">
        <is>
          <t>Не делать вывод</t>
        </is>
      </c>
      <c r="B9" s="4" t="inlineStr">
        <is>
          <t>низкое покрытие трекингом или неизвестна стоимость</t>
        </is>
      </c>
      <c r="C9" s="4" t="inlineStr">
        <is>
          <t>сначала восстановить измеримость</t>
        </is>
      </c>
      <c r="D9" s="4" t="inlineStr">
        <is>
          <t>нет знаменателя для окупаемости</t>
        </is>
      </c>
    </row>
    <row r="10"/>
    <row r="11"/>
    <row r="12" ht="30" customHeight="1">
      <c r="A12" s="3" t="inlineStr">
        <is>
          <t>Этап бюджета</t>
        </is>
      </c>
      <c r="B12" s="3" t="inlineStr">
        <is>
          <t>Сценарная доля</t>
        </is>
      </c>
      <c r="C12" s="3" t="inlineStr">
        <is>
          <t>Сумма при бюджете 300 000 ₽</t>
        </is>
      </c>
      <c r="D12" s="3" t="inlineStr">
        <is>
          <t>Правило</t>
        </is>
      </c>
    </row>
    <row r="13">
      <c r="A13" s="4" t="inlineStr">
        <is>
          <t>Разведочная волна</t>
        </is>
      </c>
      <c r="B13" s="29" t="n">
        <v>0.6</v>
      </c>
      <c r="C13" s="27">
        <f>B13*300000</f>
        <v/>
      </c>
      <c r="D13" s="4" t="inlineStr">
        <is>
          <t>купить заранее зарегистрированные тестовые размещения в сопоставленных группах</t>
        </is>
      </c>
    </row>
    <row r="14">
      <c r="A14" s="4" t="inlineStr">
        <is>
          <t>Повторная проверка</t>
        </is>
      </c>
      <c r="B14" s="29" t="n">
        <v>0.2</v>
      </c>
      <c r="C14" s="27">
        <f>B14*300000</f>
        <v/>
      </c>
      <c r="D14" s="4" t="inlineStr">
        <is>
          <t>зарезервировать для подтверждения лучших сигналов</t>
        </is>
      </c>
    </row>
    <row r="15">
      <c r="A15" s="4" t="inlineStr">
        <is>
          <t>Резерв на масштабирование</t>
        </is>
      </c>
      <c r="B15" s="29" t="n">
        <v>0.2</v>
      </c>
      <c r="C15" s="27">
        <f>B15*300000</f>
        <v/>
      </c>
      <c r="D15" s="4" t="inlineStr">
        <is>
          <t>использовать только после первой причинной оценки</t>
        </is>
      </c>
    </row>
    <row r="16"/>
    <row r="17"/>
    <row r="18">
      <c r="A18" s="6" t="inlineStr">
        <is>
          <t>Важно</t>
        </is>
      </c>
      <c r="B18" s="11" t="inlineStr">
        <is>
          <t>Доли 60/20/20 — управленческий сценарий, а не факт из данных. Если цены каналов не позволяют такое разбиение, сохраняется сам принцип: не расходовать весь бюджет до первого измеримого результата.</t>
        </is>
      </c>
    </row>
    <row r="19"/>
  </sheetData>
  <mergeCells count="3">
    <mergeCell ref="B18:H19"/>
    <mergeCell ref="A2:H2"/>
    <mergeCell ref="A1:H1"/>
  </mergeCells>
  <pageMargins left="0.3" right="0.3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Проверки этапа</t>
        </is>
      </c>
    </row>
    <row r="2"/>
    <row r="3"/>
    <row r="4" ht="30" customHeight="1">
      <c r="A4" s="3" t="inlineStr">
        <is>
          <t>Проверка</t>
        </is>
      </c>
      <c r="B4" s="3" t="inlineStr">
        <is>
          <t>Результат</t>
        </is>
      </c>
      <c r="C4" s="3" t="inlineStr">
        <is>
          <t>Основание</t>
        </is>
      </c>
    </row>
    <row r="5">
      <c r="A5" s="4" t="inlineStr">
        <is>
          <t>Историческая окупаемость по каналам не рассчитана</t>
        </is>
      </c>
      <c r="B5" s="30" t="inlineStr">
        <is>
          <t>да</t>
        </is>
      </c>
      <c r="C5" s="4" t="inlineStr">
        <is>
          <t>стоимости и пользовательские касания отсутствуют</t>
        </is>
      </c>
    </row>
    <row r="6">
      <c r="A6" s="4" t="inlineStr">
        <is>
          <t>Исторические подъёмы помечены как непричинные</t>
        </is>
      </c>
      <c r="B6" s="30" t="inlineStr">
        <is>
          <t>да</t>
        </is>
      </c>
      <c r="C6" s="4" t="inlineStr">
        <is>
          <t>используются только для гипотез</t>
        </is>
      </c>
    </row>
    <row r="7">
      <c r="A7" s="4" t="inlineStr">
        <is>
          <t>Атрибуционная и причинная окупаемость разделены</t>
        </is>
      </c>
      <c r="B7" s="30" t="inlineStr">
        <is>
          <t>да</t>
        </is>
      </c>
      <c r="C7" s="4" t="inlineStr">
        <is>
          <t>отдельные листы и формулы</t>
        </is>
      </c>
    </row>
    <row r="8">
      <c r="A8" s="4" t="inlineStr">
        <is>
          <t>Себестоимость не выдумана</t>
        </is>
      </c>
      <c r="B8" s="30" t="inlineStr">
        <is>
          <t>да</t>
        </is>
      </c>
      <c r="C8" s="4" t="inlineStr">
        <is>
          <t>доля маржи вынесена в сценарный параметр</t>
        </is>
      </c>
    </row>
    <row r="9">
      <c r="A9" s="4" t="inlineStr">
        <is>
          <t>Повторные покупки учтены отдельным 30-дневным окном</t>
        </is>
      </c>
      <c r="B9" s="30" t="inlineStr">
        <is>
          <t>да</t>
        </is>
      </c>
      <c r="C9" s="4" t="inlineStr">
        <is>
          <t>обосновано 22 наблюдаемыми повторами</t>
        </is>
      </c>
    </row>
    <row r="10">
      <c r="A10" s="4" t="inlineStr">
        <is>
          <t>Для внешних каналов не обещан недоступный пользовательский контроль</t>
        </is>
      </c>
      <c r="B10" s="30" t="inlineStr">
        <is>
          <t>да</t>
        </is>
      </c>
      <c r="C10" s="4" t="inlineStr">
        <is>
          <t>предложен случайно отложенный запуск и честное ограничение</t>
        </is>
      </c>
    </row>
    <row r="11">
      <c r="A11" s="4" t="inlineStr">
        <is>
          <t>Синтетические числа явно маркированы</t>
        </is>
      </c>
      <c r="B11" s="30" t="inlineStr">
        <is>
          <t>да</t>
        </is>
      </c>
      <c r="C11" s="4" t="inlineStr">
        <is>
          <t>демонстрационные расчёты не смешиваются с фактами</t>
        </is>
      </c>
    </row>
    <row r="12">
      <c r="A12" s="4" t="inlineStr">
        <is>
          <t>Правило по бюджету зависит от неопределённости</t>
        </is>
      </c>
      <c r="B12" s="30" t="inlineStr">
        <is>
          <t>да</t>
        </is>
      </c>
      <c r="C12" s="4" t="inlineStr">
        <is>
          <t>масштабирование только после причинной оценки</t>
        </is>
      </c>
    </row>
  </sheetData>
  <mergeCells count="1">
    <mergeCell ref="A1:H1"/>
  </mergeCells>
  <pageMargins left="0.3" right="0.3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Файлы-источники</t>
        </is>
      </c>
    </row>
    <row r="2"/>
    <row r="3"/>
    <row r="4" ht="30" customHeight="1">
      <c r="A4" s="3" t="inlineStr">
        <is>
          <t>Файл</t>
        </is>
      </c>
      <c r="B4" s="3" t="inlineStr">
        <is>
          <t>Использование</t>
        </is>
      </c>
    </row>
    <row r="5">
      <c r="A5" s="4" t="inlineStr">
        <is>
          <t>base.xlsx</t>
        </is>
      </c>
      <c r="B5" s="4" t="inlineStr">
        <is>
          <t>исходные продажи</t>
        </is>
      </c>
    </row>
    <row r="6">
      <c r="A6" s="4" t="inlineStr">
        <is>
          <t>daily_metrics.csv</t>
        </is>
      </c>
      <c r="B6" s="4" t="inlineStr">
        <is>
          <t>дневная динамика и исторические окна</t>
        </is>
      </c>
    </row>
    <row r="7">
      <c r="A7" s="4" t="inlineStr">
        <is>
          <t>repeat_orders.csv</t>
        </is>
      </c>
      <c r="B7" s="4" t="inlineStr">
        <is>
          <t>наблюдаемые повторные покупки</t>
        </is>
      </c>
    </row>
    <row r="8">
      <c r="A8" s="4" t="inlineStr">
        <is>
          <t>marketing_history.xlsx</t>
        </is>
      </c>
      <c r="B8" s="4" t="inlineStr">
        <is>
          <t>восстановленные публичные активности</t>
        </is>
      </c>
    </row>
    <row r="9">
      <c r="A9" s="4" t="inlineStr">
        <is>
          <t>measurement_system.sqlite</t>
        </is>
      </c>
      <c r="B9" s="4" t="inlineStr">
        <is>
          <t>синтетические стоимости размещений и структура измерения</t>
        </is>
      </c>
    </row>
    <row r="10">
      <c r="A10" s="4" t="inlineStr">
        <is>
          <t>attribution_by_order.csv</t>
        </is>
      </c>
      <c r="B10" s="4" t="inlineStr">
        <is>
          <t>синтетическая атрибуция этапа 5</t>
        </is>
      </c>
    </row>
    <row r="11">
      <c r="A11" s="4" t="inlineStr">
        <is>
          <t>ATTRIBUTION_README.md</t>
        </is>
      </c>
      <c r="B11" s="4" t="inlineStr">
        <is>
          <t>правила атрибуции и 7-дневное окно</t>
        </is>
      </c>
    </row>
  </sheetData>
  <mergeCells count="1">
    <mergeCell ref="A1:H1"/>
  </mergeCells>
  <pageMargins left="0.3" right="0.3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2026-09-11T18:35:10Z</dcterms:created>
  <dcterms:modified xmlns:dcterms="http://purl.org/dc/terms/" xmlns:xsi="http://www.w3.org/2001/XMLSchema-instance" xsi:type="dcterms:W3CDTF">2026-09-11T18:35:11Z</dcterms:modified>
</cp:coreProperties>
</file>