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Правила" sheetId="2" state="visible" r:id="rId2"/>
    <sheet xmlns:r="http://schemas.openxmlformats.org/officeDocument/2006/relationships" name="Сравнение_моделей" sheetId="3" state="visible" r:id="rId3"/>
    <sheet xmlns:r="http://schemas.openxmlformats.org/officeDocument/2006/relationships" name="Чувствительность_окна" sheetId="4" state="visible" r:id="rId4"/>
    <sheet xmlns:r="http://schemas.openxmlformats.org/officeDocument/2006/relationships" name="Оплаты_пример" sheetId="5" state="visible" r:id="rId5"/>
    <sheet xmlns:r="http://schemas.openxmlformats.org/officeDocument/2006/relationships" name="Сырые_события" sheetId="6" state="visible" r:id="rId6"/>
    <sheet xmlns:r="http://schemas.openxmlformats.org/officeDocument/2006/relationships" name="Канонические_касания" sheetId="7" state="visible" r:id="rId7"/>
    <sheet xmlns:r="http://schemas.openxmlformats.org/officeDocument/2006/relationships" name="Атрибуция_заказов" sheetId="8" state="visible" r:id="rId8"/>
    <sheet xmlns:r="http://schemas.openxmlformats.org/officeDocument/2006/relationships" name="Каналы_и_модели" sheetId="9" state="visible" r:id="rId9"/>
    <sheet xmlns:r="http://schemas.openxmlformats.org/officeDocument/2006/relationships" name="Повторные_покупки" sheetId="10" state="visible" r:id="rId10"/>
    <sheet xmlns:r="http://schemas.openxmlformats.org/officeDocument/2006/relationships" name="Уровни_знания" sheetId="11" state="visible" r:id="rId11"/>
    <sheet xmlns:r="http://schemas.openxmlformats.org/officeDocument/2006/relationships" name="Свидетельства_окна" sheetId="12" state="visible" r:id="rId12"/>
    <sheet xmlns:r="http://schemas.openxmlformats.org/officeDocument/2006/relationships" name="Проверки" sheetId="13" state="visible" r:id="rId13"/>
    <sheet xmlns:r="http://schemas.openxmlformats.org/officeDocument/2006/relationships" name="Исторические_повторы" sheetId="14" state="visible" r:id="rId14"/>
  </sheets>
  <definedNames>
    <definedName name="_xlnm._FilterDatabase" localSheetId="1" hidden="1">'Правила'!$A$1:$C$12</definedName>
    <definedName name="_xlnm._FilterDatabase" localSheetId="2" hidden="1">'Сравнение_моделей'!$A$1:$G$6</definedName>
    <definedName name="_xlnm._FilterDatabase" localSheetId="3" hidden="1">'Чувствительность_окна'!$A$1:$H$6</definedName>
    <definedName name="_xlnm._FilterDatabase" localSheetId="4" hidden="1">'Оплаты_пример'!$A$1:$F$14</definedName>
    <definedName name="_xlnm._FilterDatabase" localSheetId="5" hidden="1">'Сырые_события'!$A$1:$L$35</definedName>
    <definedName name="_xlnm._FilterDatabase" localSheetId="6" hidden="1">'Канонические_касания'!$A$1:$I$19</definedName>
    <definedName name="_xlnm._FilterDatabase" localSheetId="7" hidden="1">'Атрибуция_заказов'!$A$1:$N$91</definedName>
    <definedName name="_xlnm._FilterDatabase" localSheetId="8" hidden="1">'Каналы_и_модели'!$A$1:$F$31</definedName>
    <definedName name="_xlnm._FilterDatabase" localSheetId="9" hidden="1">'Повторные_покупки'!$A$1:$J$3</definedName>
    <definedName name="_xlnm._FilterDatabase" localSheetId="10" hidden="1">'Уровни_знания'!$A$1:$C$8</definedName>
    <definedName name="_xlnm._FilterDatabase" localSheetId="11" hidden="1">'Свидетельства_окна'!$A$1:$J$5</definedName>
    <definedName name="_xlnm._FilterDatabase" localSheetId="12" hidden="1">'Проверки'!$A$1:$D$13</definedName>
    <definedName name="_xlnm._FilterDatabase" localSheetId="13" hidden="1">'Исторические_повторы'!$A$1:$C$7</definedName>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 ₽"/>
    <numFmt numFmtId="166" formatCode="#,##0 ₽"/>
    <numFmt numFmtId="167" formatCode="dd.mm.yyyy hh:mm"/>
  </numFmts>
  <fonts count="7">
    <font>
      <name val="Calibri"/>
      <family val="2"/>
      <color theme="1"/>
      <sz val="11"/>
      <scheme val="minor"/>
    </font>
    <font>
      <b val="1"/>
      <color rgb="00FFFFFF"/>
      <sz val="18"/>
    </font>
    <font>
      <b val="1"/>
      <color rgb="00FFFFFF"/>
      <sz val="13"/>
    </font>
    <font>
      <b val="1"/>
    </font>
    <font>
      <color rgb="000000FF"/>
    </font>
    <font>
      <b val="1"/>
      <color rgb="00FFFFFF"/>
    </font>
    <font>
      <color rgb="00666666"/>
    </font>
  </fonts>
  <fills count="7">
    <fill>
      <patternFill/>
    </fill>
    <fill>
      <patternFill patternType="gray125"/>
    </fill>
    <fill>
      <patternFill patternType="solid">
        <fgColor rgb="0017202A"/>
      </patternFill>
    </fill>
    <fill>
      <patternFill patternType="solid">
        <fgColor rgb="007D3C98"/>
      </patternFill>
    </fill>
    <fill>
      <patternFill patternType="solid">
        <fgColor rgb="00C0392B"/>
      </patternFill>
    </fill>
    <fill>
      <patternFill patternType="solid">
        <fgColor rgb="00117864"/>
      </patternFill>
    </fill>
    <fill>
      <patternFill patternType="solid">
        <fgColor rgb="001E8449"/>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5" fillId="5" borderId="0" pivotButton="0" quotePrefix="0" xfId="0"/>
    <xf numFmtId="0" fontId="5" fillId="6" borderId="0" pivotButton="0" quotePrefix="0" xfId="0"/>
    <xf numFmtId="0" fontId="5" fillId="2"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7" fontId="0" fillId="0" borderId="0" applyAlignment="1" pivotButton="0" quotePrefix="0" xfId="0">
      <alignment vertical="top" wrapText="1"/>
    </xf>
    <xf numFmtId="2" fontId="0" fillId="0" borderId="0" pivotButton="0" quotePrefix="0" xfId="0"/>
    <xf numFmtId="0" fontId="0" fillId="0" borderId="0" applyAlignment="1" pivotButton="0" quotePrefix="0" xfId="0">
      <alignment wrapText="1"/>
    </xf>
    <xf numFmtId="167" fontId="0" fillId="0" borderId="0" applyAlignment="1" pivotButton="0" quotePrefix="0" xfId="0">
      <alignment vertical="top" wrapText="1"/>
    </xf>
    <xf numFmtId="0" fontId="5"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Покрытие по длине окна</a:t>
            </a:r>
          </a:p>
        </rich>
      </tx>
    </title>
    <plotArea>
      <lineChart>
        <grouping val="standard"/>
        <ser>
          <idx val="0"/>
          <order val="0"/>
          <tx>
            <strRef>
              <f>'Чувствительность_окна'!C1</f>
            </strRef>
          </tx>
          <spPr>
            <a:ln xmlns:a="http://schemas.openxmlformats.org/drawingml/2006/main">
              <a:prstDash val="solid"/>
            </a:ln>
          </spPr>
          <marker>
            <symbol val="none"/>
            <spPr>
              <a:ln xmlns:a="http://schemas.openxmlformats.org/drawingml/2006/main">
                <a:prstDash val="solid"/>
              </a:ln>
            </spPr>
          </marker>
          <cat>
            <numRef>
              <f>'Чувствительность_окна'!$A$2:$A$6</f>
            </numRef>
          </cat>
          <val>
            <numRef>
              <f>'Чувствительность_окна'!$C$2:$C$6</f>
            </numRef>
          </val>
        </ser>
        <axId val="10"/>
        <axId val="100"/>
      </lineChart>
      <catAx>
        <axId val="10"/>
        <scaling>
          <orientation val="minMax"/>
        </scaling>
        <axPos val="l"/>
        <title>
          <tx>
            <rich>
              <a:bodyPr xmlns:a="http://schemas.openxmlformats.org/drawingml/2006/main"/>
              <a:p xmlns:a="http://schemas.openxmlformats.org/drawingml/2006/main">
                <a:pPr>
                  <a:defRPr/>
                </a:pPr>
                <a:r>
                  <a:t>Дни</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Доля заказов</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5" authorId="0" shapeId="0">
      <text>
        <t>Источник: measurement_system.sqlite, реальные исторические заказы этапа 4.</t>
      </text>
    </comment>
    <comment ref="B6" authorId="0" shapeId="0">
      <text>
        <t>Источник: measurement_system.sqlite, реальные исторические заказы этапа 4.</t>
      </text>
    </comment>
    <comment ref="H7" authorId="0" shapeId="0">
      <text>
        <t>Источник: marketing_history.xlsx, восстановленные публичные промо-окна этапа 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
  <sheetViews>
    <sheetView showGridLines="0" workbookViewId="0">
      <selection activeCell="A1" sqref="A1"/>
    </sheetView>
  </sheetViews>
  <sheetFormatPr baseColWidth="8" defaultRowHeight="15"/>
  <cols>
    <col width="31" customWidth="1" min="1" max="1"/>
    <col width="26" customWidth="1" min="2" max="2"/>
    <col width="4" customWidth="1" min="3" max="3"/>
    <col width="31" customWidth="1" min="4" max="4"/>
    <col width="18" customWidth="1" min="5" max="5"/>
    <col width="4" customWidth="1" min="6" max="6"/>
    <col width="37" customWidth="1" min="7" max="7"/>
    <col width="22" customWidth="1" min="8" max="8"/>
    <col width="8" customWidth="1" min="9" max="9"/>
  </cols>
  <sheetData>
    <row r="1" ht="30" customHeight="1">
      <c r="A1" s="1" t="inlineStr">
        <is>
          <t>Этап 5. Модель атрибуции</t>
        </is>
      </c>
    </row>
    <row r="3">
      <c r="A3" s="2" t="inlineStr">
        <is>
          <t>Главное решение</t>
        </is>
      </c>
      <c r="B3" s="3" t="inlineStr">
        <is>
          <t>Основная модель — позиционная 40–20–40, окно 7 дней, только канонические маркетинговые касания.</t>
        </is>
      </c>
    </row>
    <row r="5">
      <c r="A5" t="inlineStr">
        <is>
          <t>Реальные исторические заказы</t>
        </is>
      </c>
      <c r="B5" t="n">
        <v>628</v>
      </c>
      <c r="D5" t="inlineStr">
        <is>
          <t>Заказы в проверочном наборе</t>
        </is>
      </c>
      <c r="E5" t="n">
        <v>13</v>
      </c>
      <c r="G5" t="inlineStr">
        <is>
          <t>Доля заказов, где первое и последнее касание — разные каналы</t>
        </is>
      </c>
      <c r="H5" s="4" t="n">
        <v>0.2307692307692308</v>
      </c>
    </row>
    <row r="6">
      <c r="A6" t="inlineStr">
        <is>
          <t>Реальная историческая выручка, ₽</t>
        </is>
      </c>
      <c r="B6" t="n">
        <v>5904671.67</v>
      </c>
      <c r="D6" t="inlineStr">
        <is>
          <t>Выручка проверочного набора, ₽</t>
        </is>
      </c>
      <c r="E6" s="5">
        <f>SUM(Оплаты_пример!D2:D14)</f>
        <v/>
      </c>
      <c r="G6" t="inlineStr">
        <is>
          <t>Выручка таких заказов, ₽</t>
        </is>
      </c>
      <c r="H6" s="6" t="n">
        <v>33800</v>
      </c>
    </row>
    <row r="7">
      <c r="A7" t="inlineStr">
        <is>
          <t>Исторические заказы со сквозными касаниями</t>
        </is>
      </c>
      <c r="B7" t="n">
        <v>0</v>
      </c>
      <c r="D7" t="inlineStr">
        <is>
          <t>Основное окно, дней</t>
        </is>
      </c>
      <c r="E7" s="7" t="n">
        <v>7</v>
      </c>
      <c r="G7" t="inlineStr">
        <is>
          <t>Медианная длительность подтверждённых крупных промо, дней</t>
        </is>
      </c>
      <c r="H7" t="n">
        <v>2</v>
      </c>
    </row>
    <row r="8">
      <c r="A8" t="inlineStr">
        <is>
          <t>Доля исторических заказов, которые можно детерминированно атрибутировать</t>
        </is>
      </c>
      <c r="B8" s="4">
        <f>IF(B5=0,0,B7/B5)</f>
        <v/>
      </c>
      <c r="D8" t="inlineStr">
        <is>
          <t>Период полураспада для модели затухания, дней</t>
        </is>
      </c>
      <c r="E8" s="7" t="n">
        <v>3</v>
      </c>
      <c r="G8" t="inlineStr">
        <is>
          <t>Статус проверок движка</t>
        </is>
      </c>
      <c r="H8">
        <f>IF(COUNTIF(Проверки!D:D,"ошибка")=0,"все проверки пройдены","есть ошибки")</f>
        <v/>
      </c>
    </row>
    <row r="10" ht="28" customHeight="1">
      <c r="A10" s="8" t="inlineStr">
        <is>
          <t>Почему не атрибутируем прошлое</t>
        </is>
      </c>
      <c r="B10" s="9" t="inlineStr">
        <is>
          <t>В 628 реальных исторических заказах нет пользовательских маркетинговых касаний. Публичная хронология помогает искать временные совпадения, но не позволяет честно распределить выручку по каналам. Поэтому численное сравнение моделей ниже выполняется только на явно маркированном синтетическом проверочном наборе.</t>
        </is>
      </c>
    </row>
    <row r="11"/>
    <row r="13" ht="28" customHeight="1">
      <c r="A13" s="10" t="inlineStr">
        <is>
          <t>Что считать касанием</t>
        </is>
      </c>
      <c r="B13" s="9" t="inlineStr">
        <is>
          <t>Одна маркетинговая активность — одно каноническое касание. Переход по отслеживаемой ссылке и запуск бота с той же меткой не получают два отдельных кредита. Прямой вход учитывается только если в окне нет известного платного или собственного касания.</t>
        </is>
      </c>
    </row>
    <row r="14"/>
    <row r="16" ht="28" customHeight="1">
      <c r="A16" s="11" t="inlineStr">
        <is>
          <t>Готовность к следующему этапу</t>
        </is>
      </c>
      <c r="B16" s="9" t="inlineStr">
        <is>
          <t>Выход этапа — долевая выручка на уровне заказа → канала → размещения. На следующем этапе её можно соединить со стоимостью размещений для расчёта атрибуционной окупаемости, но причинный эффект нужно оценивать отдельно.</t>
        </is>
      </c>
    </row>
    <row r="17"/>
    <row r="19">
      <c r="A19" t="inlineStr">
        <is>
          <t>Наблюдаемые повторные заказы в реальной истории</t>
        </is>
      </c>
      <c r="B19" t="n">
        <v>22</v>
      </c>
      <c r="D19" t="inlineStr">
        <is>
          <t>Покупатели с наблюдаемым повтором</t>
        </is>
      </c>
      <c r="E19" t="n">
        <v>20</v>
      </c>
      <c r="G19" t="inlineStr">
        <is>
          <t>Медианный интервал между наблюдаемыми заказами, дней</t>
        </is>
      </c>
      <c r="H19" s="18" t="n">
        <v>12.94339699074074</v>
      </c>
    </row>
    <row r="20">
      <c r="A20" t="inlineStr">
        <is>
          <t>Ограничение</t>
        </is>
      </c>
      <c r="B20" s="19" t="inlineStr">
        <is>
          <t>Истории до 4 августа нет, поэтому первая наблюдаемая покупка не равна истинному привлечению пользователя.</t>
        </is>
      </c>
    </row>
  </sheetData>
  <mergeCells count="6">
    <mergeCell ref="B13:I14"/>
    <mergeCell ref="B20:I20"/>
    <mergeCell ref="B16:I17"/>
    <mergeCell ref="A1:I1"/>
    <mergeCell ref="B3:I3"/>
    <mergeCell ref="B10:I1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30" customWidth="1" min="1" max="1"/>
    <col width="42" customWidth="1" min="2" max="2"/>
    <col width="42" customWidth="1" min="3" max="3"/>
  </cols>
  <sheetData>
    <row r="1">
      <c r="A1" s="12" t="inlineStr">
        <is>
          <t>правило</t>
        </is>
      </c>
      <c r="B1" s="12" t="inlineStr">
        <is>
          <t>решение</t>
        </is>
      </c>
      <c r="C1" s="12" t="inlineStr">
        <is>
          <t>обоснование</t>
        </is>
      </c>
    </row>
    <row r="2">
      <c r="A2" s="9" t="inlineStr">
        <is>
          <t>Единица атрибуции</t>
        </is>
      </c>
      <c r="B2" s="13" t="inlineStr">
        <is>
          <t>оплаченный заказ</t>
        </is>
      </c>
      <c r="C2" s="14" t="inlineStr">
        <is>
          <t>каждый заказ атрибутируется независимо; сумма долей по заказу равна 100%</t>
        </is>
      </c>
    </row>
    <row r="3">
      <c r="A3" s="9" t="inlineStr">
        <is>
          <t>Основная модель</t>
        </is>
      </c>
      <c r="B3" s="13" t="inlineStr">
        <is>
          <t>позиционная 40–20–40</t>
        </is>
      </c>
      <c r="C3" s="14" t="inlineStr">
        <is>
          <t>первое касание получает 40%, последнее 40%, середина делит 20%; при двух касаниях 50/50, при одном 100%</t>
        </is>
      </c>
    </row>
    <row r="4">
      <c r="A4" s="9" t="inlineStr">
        <is>
          <t>Основное окно</t>
        </is>
      </c>
      <c r="B4" s="13" t="inlineStr">
        <is>
          <t>7 дней до оплаты</t>
        </is>
      </c>
      <c r="C4" s="14" t="inlineStr">
        <is>
          <t>история показывает короткие промо-окна, но пользователь может читать канал несколько дней; это рабочее допущение, а не оценённый лаг</t>
        </is>
      </c>
    </row>
    <row r="5">
      <c r="A5" s="9" t="inlineStr">
        <is>
          <t>Проверка устойчивости</t>
        </is>
      </c>
      <c r="B5" s="13" t="inlineStr">
        <is>
          <t>1, 3, 7, 14 и 30 дней</t>
        </is>
      </c>
      <c r="C5" s="14" t="inlineStr">
        <is>
          <t>в отчёте одновременно показывается чувствительность результата к окну</t>
        </is>
      </c>
    </row>
    <row r="6">
      <c r="A6" s="9" t="inlineStr">
        <is>
          <t>Технические события</t>
        </is>
      </c>
      <c r="B6" s="13" t="inlineStr">
        <is>
          <t>не считаются отдельными касаниями</t>
        </is>
      </c>
      <c r="C6" s="14" t="inlineStr">
        <is>
          <t>переход и последующий запуск бота с одной меткой источника объединяются в одно каноническое касание</t>
        </is>
      </c>
    </row>
    <row r="7">
      <c r="A7" s="9" t="inlineStr">
        <is>
          <t>Прямой вход</t>
        </is>
      </c>
      <c r="B7" s="13" t="inlineStr">
        <is>
          <t>получает 100% только без известного маркетингового касания</t>
        </is>
      </c>
      <c r="C7" s="14" t="inlineStr">
        <is>
          <t>если в окне есть платное или собственное касание, прямой вход не перехватывает выручку</t>
        </is>
      </c>
    </row>
    <row r="8">
      <c r="A8" s="9" t="inlineStr">
        <is>
          <t>Неизвестный источник</t>
        </is>
      </c>
      <c r="B8" s="13" t="inlineStr">
        <is>
          <t>отдельная остаточная категория</t>
        </is>
      </c>
      <c r="C8" s="14" t="inlineStr">
        <is>
          <t>потерю измерения нельзя маскировать органикой</t>
        </is>
      </c>
    </row>
    <row r="9">
      <c r="A9" s="9" t="inlineStr">
        <is>
          <t>Повторная покупка</t>
        </is>
      </c>
      <c r="B9" s="13" t="inlineStr">
        <is>
          <t>атрибутируется только свежим касаниям в окне</t>
        </is>
      </c>
      <c r="C9" s="14" t="inlineStr">
        <is>
          <t>если свежих касаний нет, заказ относится к категории «повторная без свежего касания»</t>
        </is>
      </c>
    </row>
    <row r="10">
      <c r="A10" s="9" t="inlineStr">
        <is>
          <t>Выручка после первой покупки</t>
        </is>
      </c>
      <c r="B10" s="13" t="inlineStr">
        <is>
          <t>отдельно для когортного анализа</t>
        </is>
      </c>
      <c r="C10" s="14" t="inlineStr">
        <is>
          <t>доход после окна можно связывать с исходным источником на уровне жизненной ценности когорты, но не выдавать за атрибуцию конкретного заказа</t>
        </is>
      </c>
    </row>
    <row r="11">
      <c r="A11" s="9" t="inlineStr">
        <is>
          <t>Уровень отчётности</t>
        </is>
      </c>
      <c r="B11" s="13" t="inlineStr">
        <is>
          <t>канал → размещение → креатив</t>
        </is>
      </c>
      <c r="C11" s="14" t="inlineStr">
        <is>
          <t>сначала сохраняются доли на уровне касания, затем агрегируются без потери детализации</t>
        </is>
      </c>
    </row>
    <row r="12">
      <c r="A12" s="9" t="inlineStr">
        <is>
          <t>Модель для контроля</t>
        </is>
      </c>
      <c r="B12" s="13" t="inlineStr">
        <is>
          <t>первое, последнее, линейное и затухающее касание</t>
        </is>
      </c>
      <c r="C12" s="14" t="inlineStr">
        <is>
          <t>расхождения между моделями показываются как неопределённость, а не скрываются</t>
        </is>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9" customWidth="1" min="3" max="3"/>
    <col width="20" customWidth="1" min="4" max="4"/>
    <col width="19" customWidth="1" min="5" max="5"/>
    <col width="22" customWidth="1" min="6" max="6"/>
    <col width="41" customWidth="1" min="7" max="7"/>
  </cols>
  <sheetData>
    <row r="1">
      <c r="A1" s="12" t="inlineStr">
        <is>
          <t>модель</t>
        </is>
      </c>
      <c r="B1" s="12" t="inlineStr">
        <is>
          <t>всего_атрибутировано</t>
        </is>
      </c>
      <c r="C1" s="12" t="inlineStr">
        <is>
          <t>платный_внешний</t>
        </is>
      </c>
      <c r="D1" s="12" t="inlineStr">
        <is>
          <t>собственный_канал</t>
        </is>
      </c>
      <c r="E1" s="12" t="inlineStr">
        <is>
          <t>органический_вход</t>
        </is>
      </c>
      <c r="F1" s="12" t="inlineStr">
        <is>
          <t>остаточные_категории</t>
        </is>
      </c>
      <c r="G1" s="12" t="inlineStr">
        <is>
          <t>доля_заказов_с_несколькими_получателями</t>
        </is>
      </c>
    </row>
    <row r="2">
      <c r="A2" s="9" t="inlineStr">
        <is>
          <t>первое касание</t>
        </is>
      </c>
      <c r="B2" s="9" t="n">
        <v>133920</v>
      </c>
      <c r="C2" s="9" t="n">
        <v>70680</v>
      </c>
      <c r="D2" s="9" t="n">
        <v>32850</v>
      </c>
      <c r="E2" s="9" t="n">
        <v>6490</v>
      </c>
      <c r="F2" s="9" t="n">
        <v>23900</v>
      </c>
      <c r="G2" s="15" t="n">
        <v>0</v>
      </c>
    </row>
    <row r="3">
      <c r="A3" s="9" t="inlineStr">
        <is>
          <t>последнее касание</t>
        </is>
      </c>
      <c r="B3" s="9" t="n">
        <v>133920</v>
      </c>
      <c r="C3" s="9" t="n">
        <v>36880</v>
      </c>
      <c r="D3" s="9" t="n">
        <v>66650</v>
      </c>
      <c r="E3" s="9" t="n">
        <v>6490</v>
      </c>
      <c r="F3" s="9" t="n">
        <v>23900</v>
      </c>
      <c r="G3" s="15" t="n">
        <v>0</v>
      </c>
    </row>
    <row r="4">
      <c r="A4" s="9" t="inlineStr">
        <is>
          <t>линейная модель</t>
        </is>
      </c>
      <c r="B4" s="9" t="n">
        <v>133920</v>
      </c>
      <c r="C4" s="9" t="n">
        <v>53938.33333333333</v>
      </c>
      <c r="D4" s="9" t="n">
        <v>49591.66666666666</v>
      </c>
      <c r="E4" s="9" t="n">
        <v>6490</v>
      </c>
      <c r="F4" s="9" t="n">
        <v>23900</v>
      </c>
      <c r="G4" s="15" t="n">
        <v>0.2307692307692308</v>
      </c>
    </row>
    <row r="5">
      <c r="A5" s="9" t="inlineStr">
        <is>
          <t>затухание по времени</t>
        </is>
      </c>
      <c r="B5" s="9" t="n">
        <v>133920</v>
      </c>
      <c r="C5" s="9" t="n">
        <v>47934.77266222676</v>
      </c>
      <c r="D5" s="9" t="n">
        <v>55595.22733777323</v>
      </c>
      <c r="E5" s="9" t="n">
        <v>6490</v>
      </c>
      <c r="F5" s="9" t="n">
        <v>23900</v>
      </c>
      <c r="G5" s="15" t="n">
        <v>0.2307692307692308</v>
      </c>
    </row>
    <row r="6">
      <c r="A6" s="9" t="inlineStr">
        <is>
          <t>позиционная модель</t>
        </is>
      </c>
      <c r="B6" s="9" t="n">
        <v>133920</v>
      </c>
      <c r="C6" s="9" t="n">
        <v>53875</v>
      </c>
      <c r="D6" s="9" t="n">
        <v>49655</v>
      </c>
      <c r="E6" s="9" t="n">
        <v>6490</v>
      </c>
      <c r="F6" s="9" t="n">
        <v>23900</v>
      </c>
      <c r="G6" s="15" t="n">
        <v>0.2307692307692308</v>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1" customWidth="1" min="1" max="1"/>
    <col width="34" customWidth="1" min="2" max="2"/>
    <col width="39" customWidth="1" min="3" max="3"/>
    <col width="33" customWidth="1" min="4" max="4"/>
    <col width="25" customWidth="1" min="5" max="5"/>
    <col width="21" customWidth="1" min="6" max="6"/>
    <col width="22" customWidth="1" min="7" max="7"/>
    <col width="20" customWidth="1" min="8" max="8"/>
  </cols>
  <sheetData>
    <row r="1">
      <c r="A1" s="12" t="inlineStr">
        <is>
          <t>окно_дни</t>
        </is>
      </c>
      <c r="B1" s="12" t="inlineStr">
        <is>
          <t>заказов_с_наблюдаемым_источником</t>
        </is>
      </c>
      <c r="C1" s="12" t="inlineStr">
        <is>
          <t>доля_заказов_с_наблюдаемым_источником</t>
        </is>
      </c>
      <c r="D1" s="12" t="inlineStr">
        <is>
          <t>заказов_с_несколькими_касаниями</t>
        </is>
      </c>
      <c r="E1" s="12" t="inlineStr">
        <is>
          <t>выручка_платный_внешний</t>
        </is>
      </c>
      <c r="F1" s="12" t="inlineStr">
        <is>
          <t>выручка_собственный</t>
        </is>
      </c>
      <c r="G1" s="12" t="inlineStr">
        <is>
          <t>выручка_органический</t>
        </is>
      </c>
      <c r="H1" s="12" t="inlineStr">
        <is>
          <t>выручка_остаточная</t>
        </is>
      </c>
    </row>
    <row r="2">
      <c r="A2" s="9" t="n">
        <v>1</v>
      </c>
      <c r="B2" s="9" t="n">
        <v>5</v>
      </c>
      <c r="C2" s="15" t="n">
        <v>0.3846153846153846</v>
      </c>
      <c r="D2" s="9" t="n">
        <v>0</v>
      </c>
      <c r="E2" s="16" t="n">
        <v>15440</v>
      </c>
      <c r="F2" s="16" t="n">
        <v>23900</v>
      </c>
      <c r="G2" s="16" t="n">
        <v>6490</v>
      </c>
      <c r="H2" s="16" t="n">
        <v>88090</v>
      </c>
    </row>
    <row r="3">
      <c r="A3" s="9" t="n">
        <v>3</v>
      </c>
      <c r="B3" s="9" t="n">
        <v>11</v>
      </c>
      <c r="C3" s="15" t="n">
        <v>0.8461538461538461</v>
      </c>
      <c r="D3" s="9" t="n">
        <v>1</v>
      </c>
      <c r="E3" s="16" t="n">
        <v>36880</v>
      </c>
      <c r="F3" s="16" t="n">
        <v>66650</v>
      </c>
      <c r="G3" s="16" t="n">
        <v>6490</v>
      </c>
      <c r="H3" s="16" t="n">
        <v>23900</v>
      </c>
    </row>
    <row r="4">
      <c r="A4" s="9" t="n">
        <v>7</v>
      </c>
      <c r="B4" s="9" t="n">
        <v>11</v>
      </c>
      <c r="C4" s="15" t="n">
        <v>0.8461538461538461</v>
      </c>
      <c r="D4" s="9" t="n">
        <v>3</v>
      </c>
      <c r="E4" s="16" t="n">
        <v>53875</v>
      </c>
      <c r="F4" s="16" t="n">
        <v>49655</v>
      </c>
      <c r="G4" s="16" t="n">
        <v>6490</v>
      </c>
      <c r="H4" s="16" t="n">
        <v>23900</v>
      </c>
    </row>
    <row r="5">
      <c r="A5" s="9" t="n">
        <v>14</v>
      </c>
      <c r="B5" s="9" t="n">
        <v>11</v>
      </c>
      <c r="C5" s="15" t="n">
        <v>0.8461538461538461</v>
      </c>
      <c r="D5" s="9" t="n">
        <v>4</v>
      </c>
      <c r="E5" s="16" t="n">
        <v>58350</v>
      </c>
      <c r="F5" s="16" t="n">
        <v>45180</v>
      </c>
      <c r="G5" s="16" t="n">
        <v>6490</v>
      </c>
      <c r="H5" s="16" t="n">
        <v>23900</v>
      </c>
    </row>
    <row r="6">
      <c r="A6" s="9" t="n">
        <v>30</v>
      </c>
      <c r="B6" s="9" t="n">
        <v>11</v>
      </c>
      <c r="C6" s="15" t="n">
        <v>0.8461538461538461</v>
      </c>
      <c r="D6" s="9" t="n">
        <v>4</v>
      </c>
      <c r="E6" s="16" t="n">
        <v>58350</v>
      </c>
      <c r="F6" s="16" t="n">
        <v>45180</v>
      </c>
      <c r="G6" s="16" t="n">
        <v>6490</v>
      </c>
      <c r="H6" s="16" t="n">
        <v>23900</v>
      </c>
    </row>
  </sheetData>
  <autoFilter ref="A1:H6"/>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21" customWidth="1" min="3" max="3"/>
    <col width="14" customWidth="1" min="4" max="4"/>
    <col width="15" customWidth="1" min="5" max="5"/>
    <col width="41" customWidth="1" min="6" max="6"/>
  </cols>
  <sheetData>
    <row r="1">
      <c r="A1" s="12" t="inlineStr">
        <is>
          <t>заказ</t>
        </is>
      </c>
      <c r="B1" s="12" t="inlineStr">
        <is>
          <t>пользователь</t>
        </is>
      </c>
      <c r="C1" s="12" t="inlineStr">
        <is>
          <t>время_оплаты</t>
        </is>
      </c>
      <c r="D1" s="12" t="inlineStr">
        <is>
          <t>сумма_оплаты</t>
        </is>
      </c>
      <c r="E1" s="12" t="inlineStr">
        <is>
          <t>номер_покупки</t>
        </is>
      </c>
      <c r="F1" s="12" t="inlineStr">
        <is>
          <t>сценарий</t>
        </is>
      </c>
    </row>
    <row r="2">
      <c r="A2" s="9" t="inlineStr">
        <is>
          <t>ЗАК001</t>
        </is>
      </c>
      <c r="B2" s="9" t="inlineStr">
        <is>
          <t>ПОЛ001</t>
        </is>
      </c>
      <c r="C2" s="20" t="n">
        <v>46280.52222222222</v>
      </c>
      <c r="D2" s="16" t="n">
        <v>8950</v>
      </c>
      <c r="E2" s="9" t="n">
        <v>1</v>
      </c>
      <c r="F2" s="9" t="inlineStr">
        <is>
          <t>одиночная покупка</t>
        </is>
      </c>
    </row>
    <row r="3">
      <c r="A3" s="9" t="inlineStr">
        <is>
          <t>ЗАК002</t>
        </is>
      </c>
      <c r="B3" s="9" t="inlineStr">
        <is>
          <t>ПОЛ002</t>
        </is>
      </c>
      <c r="C3" s="20" t="n">
        <v>46282.82083333333</v>
      </c>
      <c r="D3" s="16" t="n">
        <v>14950</v>
      </c>
      <c r="E3" s="9" t="n">
        <v>1</v>
      </c>
      <c r="F3" s="9" t="inlineStr">
        <is>
          <t>одиночная покупка</t>
        </is>
      </c>
    </row>
    <row r="4">
      <c r="A4" s="9" t="inlineStr">
        <is>
          <t>ЗАК003</t>
        </is>
      </c>
      <c r="B4" s="9" t="inlineStr">
        <is>
          <t>ПОЛ003</t>
        </is>
      </c>
      <c r="C4" s="20" t="n">
        <v>46283.47361111111</v>
      </c>
      <c r="D4" s="16" t="n">
        <v>6490</v>
      </c>
      <c r="E4" s="9" t="n">
        <v>1</v>
      </c>
      <c r="F4" s="9" t="inlineStr">
        <is>
          <t>одиночная покупка</t>
        </is>
      </c>
    </row>
    <row r="5">
      <c r="A5" s="9" t="inlineStr">
        <is>
          <t>ЗАК004</t>
        </is>
      </c>
      <c r="B5" s="9" t="inlineStr">
        <is>
          <t>ПОЛ004</t>
        </is>
      </c>
      <c r="C5" s="20" t="n">
        <v>46284.83333333334</v>
      </c>
      <c r="D5" s="16" t="n">
        <v>8950</v>
      </c>
      <c r="E5" s="9" t="n">
        <v>1</v>
      </c>
      <c r="F5" s="9" t="inlineStr">
        <is>
          <t>несколько касаний</t>
        </is>
      </c>
    </row>
    <row r="6">
      <c r="A6" s="9" t="inlineStr">
        <is>
          <t>ЗАК005</t>
        </is>
      </c>
      <c r="B6" s="9" t="inlineStr">
        <is>
          <t>ПОЛ005</t>
        </is>
      </c>
      <c r="C6" s="20" t="n">
        <v>46285.75</v>
      </c>
      <c r="D6" s="16" t="n">
        <v>14950</v>
      </c>
      <c r="E6" s="9" t="n">
        <v>1</v>
      </c>
      <c r="F6" s="9" t="inlineStr">
        <is>
          <t>несколько касаний</t>
        </is>
      </c>
    </row>
    <row r="7">
      <c r="A7" s="9" t="inlineStr">
        <is>
          <t>ЗАК006</t>
        </is>
      </c>
      <c r="B7" s="9" t="inlineStr">
        <is>
          <t>ПОЛ006</t>
        </is>
      </c>
      <c r="C7" s="20" t="n">
        <v>46286.75</v>
      </c>
      <c r="D7" s="16" t="n">
        <v>8950</v>
      </c>
      <c r="E7" s="9" t="n">
        <v>1</v>
      </c>
      <c r="F7" s="9" t="inlineStr">
        <is>
          <t>длинный путь</t>
        </is>
      </c>
    </row>
    <row r="8">
      <c r="A8" s="9" t="inlineStr">
        <is>
          <t>ЗАК007</t>
        </is>
      </c>
      <c r="B8" s="9" t="inlineStr">
        <is>
          <t>ПОЛ007</t>
        </is>
      </c>
      <c r="C8" s="20" t="n">
        <v>46286.83333333334</v>
      </c>
      <c r="D8" s="16" t="n">
        <v>9900</v>
      </c>
      <c r="E8" s="9" t="n">
        <v>1</v>
      </c>
      <c r="F8" s="9" t="inlineStr">
        <is>
          <t>два внешних и собственный канал</t>
        </is>
      </c>
    </row>
    <row r="9">
      <c r="A9" s="9" t="inlineStr">
        <is>
          <t>ЗАК008</t>
        </is>
      </c>
      <c r="B9" s="9" t="inlineStr">
        <is>
          <t>ПОЛ008</t>
        </is>
      </c>
      <c r="C9" s="20" t="n">
        <v>46287.5</v>
      </c>
      <c r="D9" s="16" t="n">
        <v>6490</v>
      </c>
      <c r="E9" s="9" t="n">
        <v>1</v>
      </c>
      <c r="F9" s="9" t="inlineStr">
        <is>
          <t>одно платное касание</t>
        </is>
      </c>
    </row>
    <row r="10">
      <c r="A10" s="9" t="inlineStr">
        <is>
          <t>ЗАК009</t>
        </is>
      </c>
      <c r="B10" s="9" t="inlineStr">
        <is>
          <t>ПОЛ009</t>
        </is>
      </c>
      <c r="C10" s="20" t="n">
        <v>46288.70833333334</v>
      </c>
      <c r="D10" s="16" t="n">
        <v>8950</v>
      </c>
      <c r="E10" s="9" t="n">
        <v>1</v>
      </c>
      <c r="F10" s="9" t="inlineStr">
        <is>
          <t>нет сохранённого источника</t>
        </is>
      </c>
    </row>
    <row r="11">
      <c r="A11" s="9" t="inlineStr">
        <is>
          <t>ЗАК010</t>
        </is>
      </c>
      <c r="B11" s="9" t="inlineStr">
        <is>
          <t>ПОЛ010</t>
        </is>
      </c>
      <c r="C11" s="20" t="n">
        <v>46289.58333333334</v>
      </c>
      <c r="D11" s="16" t="n">
        <v>14950</v>
      </c>
      <c r="E11" s="9" t="n">
        <v>1</v>
      </c>
      <c r="F11" s="9" t="inlineStr">
        <is>
          <t>прямой вход и платное касание</t>
        </is>
      </c>
    </row>
    <row r="12">
      <c r="A12" s="9" t="inlineStr">
        <is>
          <t>ЗАК011</t>
        </is>
      </c>
      <c r="B12" s="9" t="inlineStr">
        <is>
          <t>ПОЛ011</t>
        </is>
      </c>
      <c r="C12" s="20" t="n">
        <v>46281.75</v>
      </c>
      <c r="D12" s="16" t="n">
        <v>6490</v>
      </c>
      <c r="E12" s="9" t="n">
        <v>1</v>
      </c>
      <c r="F12" s="9" t="inlineStr">
        <is>
          <t>первая покупка пользователя с повторами</t>
        </is>
      </c>
    </row>
    <row r="13">
      <c r="A13" s="9" t="inlineStr">
        <is>
          <t>ЗАК012</t>
        </is>
      </c>
      <c r="B13" s="9" t="inlineStr">
        <is>
          <t>ПОЛ011</t>
        </is>
      </c>
      <c r="C13" s="20" t="n">
        <v>46293.75</v>
      </c>
      <c r="D13" s="16" t="n">
        <v>8950</v>
      </c>
      <c r="E13" s="9" t="n">
        <v>2</v>
      </c>
      <c r="F13" s="9" t="inlineStr">
        <is>
          <t>повторная покупка со свежим касанием</t>
        </is>
      </c>
    </row>
    <row r="14">
      <c r="A14" s="9" t="inlineStr">
        <is>
          <t>ЗАК013</t>
        </is>
      </c>
      <c r="B14" s="9" t="inlineStr">
        <is>
          <t>ПОЛ011</t>
        </is>
      </c>
      <c r="C14" s="20" t="n">
        <v>46307.75</v>
      </c>
      <c r="D14" s="16" t="n">
        <v>14950</v>
      </c>
      <c r="E14" s="9" t="n">
        <v>3</v>
      </c>
      <c r="F14" s="9" t="inlineStr">
        <is>
          <t>повторная покупка без свежего касания</t>
        </is>
      </c>
    </row>
  </sheetData>
  <autoFilter ref="A1:F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5"/>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21" customWidth="1" min="4" max="4"/>
    <col width="17" customWidth="1" min="5" max="5"/>
    <col width="17" customWidth="1" min="6" max="6"/>
    <col width="28" customWidth="1" min="7" max="7"/>
    <col width="33" customWidth="1" min="8" max="8"/>
    <col width="22" customWidth="1" min="9" max="9"/>
    <col width="21" customWidth="1" min="10" max="10"/>
    <col width="41" customWidth="1" min="11" max="11"/>
    <col width="11" customWidth="1" min="12" max="12"/>
  </cols>
  <sheetData>
    <row r="1">
      <c r="A1" s="12" t="inlineStr">
        <is>
          <t>заказ</t>
        </is>
      </c>
      <c r="B1" s="12" t="inlineStr">
        <is>
          <t>пользователь</t>
        </is>
      </c>
      <c r="C1" s="12" t="inlineStr">
        <is>
          <t>группа_касания</t>
        </is>
      </c>
      <c r="D1" s="12" t="inlineStr">
        <is>
          <t>время_события</t>
        </is>
      </c>
      <c r="E1" s="12" t="inlineStr">
        <is>
          <t>тип_источника</t>
        </is>
      </c>
      <c r="F1" s="12" t="inlineStr">
        <is>
          <t>канал</t>
        </is>
      </c>
      <c r="G1" s="12" t="inlineStr">
        <is>
          <t>размещение</t>
        </is>
      </c>
      <c r="H1" s="12" t="inlineStr">
        <is>
          <t>событие</t>
        </is>
      </c>
      <c r="I1" s="12" t="inlineStr">
        <is>
          <t>кандидат_в_атрибуцию</t>
        </is>
      </c>
      <c r="J1" s="12" t="inlineStr">
        <is>
          <t>часов_до_оплаты</t>
        </is>
      </c>
      <c r="K1" s="12" t="inlineStr">
        <is>
          <t>примечание</t>
        </is>
      </c>
      <c r="L1" s="12" t="inlineStr">
        <is>
          <t>синтетика</t>
        </is>
      </c>
    </row>
    <row r="2">
      <c r="A2" s="9" t="inlineStr">
        <is>
          <t>ЗАК001</t>
        </is>
      </c>
      <c r="B2" s="9" t="inlineStr">
        <is>
          <t>ПОЛ001</t>
        </is>
      </c>
      <c r="C2" s="9" t="inlineStr">
        <is>
          <t>КАС001</t>
        </is>
      </c>
      <c r="D2" s="20" t="n">
        <v>46280.50347222222</v>
      </c>
      <c r="E2" s="9" t="inlineStr">
        <is>
          <t>платный внешний</t>
        </is>
      </c>
      <c r="F2" s="9" t="inlineStr">
        <is>
          <t>Внешний канал А</t>
        </is>
      </c>
      <c r="G2" s="9" t="inlineStr">
        <is>
          <t>Размещение А-1</t>
        </is>
      </c>
      <c r="H2" s="9" t="inlineStr">
        <is>
          <t>переход по отслеживаемой ссылке</t>
        </is>
      </c>
      <c r="I2" s="9" t="n">
        <v>1</v>
      </c>
      <c r="J2" s="9" t="n">
        <v>0.45</v>
      </c>
      <c r="K2" s="9" t="inlineStr"/>
      <c r="L2" s="9" t="inlineStr">
        <is>
          <t>да</t>
        </is>
      </c>
    </row>
    <row r="3">
      <c r="A3" s="9" t="inlineStr">
        <is>
          <t>ЗАК001</t>
        </is>
      </c>
      <c r="B3" s="9" t="inlineStr">
        <is>
          <t>ПОЛ001</t>
        </is>
      </c>
      <c r="C3" s="9" t="inlineStr">
        <is>
          <t>КАС001</t>
        </is>
      </c>
      <c r="D3" s="20" t="n">
        <v>46280.5037037037</v>
      </c>
      <c r="E3" s="9" t="inlineStr">
        <is>
          <t>платный внешний</t>
        </is>
      </c>
      <c r="F3" s="9" t="inlineStr">
        <is>
          <t>Внешний канал А</t>
        </is>
      </c>
      <c r="G3" s="9" t="inlineStr">
        <is>
          <t>Размещение А-1</t>
        </is>
      </c>
      <c r="H3" s="9" t="inlineStr">
        <is>
          <t>запуск бота с меткой источника</t>
        </is>
      </c>
      <c r="I3" s="9" t="n">
        <v>0</v>
      </c>
      <c r="J3" s="9" t="n">
        <v>0.4444444444444444</v>
      </c>
      <c r="K3" s="9" t="inlineStr">
        <is>
          <t>техническое продолжение того же касания</t>
        </is>
      </c>
      <c r="L3" s="9" t="inlineStr">
        <is>
          <t>да</t>
        </is>
      </c>
    </row>
    <row r="4">
      <c r="A4" s="9" t="inlineStr">
        <is>
          <t>ЗАК002</t>
        </is>
      </c>
      <c r="B4" s="9" t="inlineStr">
        <is>
          <t>ПОЛ002</t>
        </is>
      </c>
      <c r="C4" s="9" t="inlineStr">
        <is>
          <t>КАС002</t>
        </is>
      </c>
      <c r="D4" s="20" t="n">
        <v>46282.79861111111</v>
      </c>
      <c r="E4" s="9" t="inlineStr">
        <is>
          <t>собственный</t>
        </is>
      </c>
      <c r="F4" s="9" t="inlineStr">
        <is>
          <t>Основной канал</t>
        </is>
      </c>
      <c r="G4" s="9" t="inlineStr">
        <is>
          <t>Собственный продающий пост</t>
        </is>
      </c>
      <c r="H4" s="9" t="inlineStr">
        <is>
          <t>переход по отслеживаемой ссылке</t>
        </is>
      </c>
      <c r="I4" s="9" t="n">
        <v>1</v>
      </c>
      <c r="J4" s="9" t="n">
        <v>0.5333333333333333</v>
      </c>
      <c r="K4" s="9" t="inlineStr"/>
      <c r="L4" s="9" t="inlineStr">
        <is>
          <t>да</t>
        </is>
      </c>
    </row>
    <row r="5">
      <c r="A5" s="9" t="inlineStr">
        <is>
          <t>ЗАК002</t>
        </is>
      </c>
      <c r="B5" s="9" t="inlineStr">
        <is>
          <t>ПОЛ002</t>
        </is>
      </c>
      <c r="C5" s="9" t="inlineStr">
        <is>
          <t>КАС002</t>
        </is>
      </c>
      <c r="D5" s="20" t="n">
        <v>46282.79878472222</v>
      </c>
      <c r="E5" s="9" t="inlineStr">
        <is>
          <t>собственный</t>
        </is>
      </c>
      <c r="F5" s="9" t="inlineStr">
        <is>
          <t>Основной канал</t>
        </is>
      </c>
      <c r="G5" s="9" t="inlineStr">
        <is>
          <t>Собственный продающий пост</t>
        </is>
      </c>
      <c r="H5" s="9" t="inlineStr">
        <is>
          <t>запуск бота с меткой источника</t>
        </is>
      </c>
      <c r="I5" s="9" t="n">
        <v>0</v>
      </c>
      <c r="J5" s="9" t="n">
        <v>0.5291666666666667</v>
      </c>
      <c r="K5" s="9" t="inlineStr">
        <is>
          <t>техническое продолжение того же касания</t>
        </is>
      </c>
      <c r="L5" s="9" t="inlineStr">
        <is>
          <t>да</t>
        </is>
      </c>
    </row>
    <row r="6">
      <c r="A6" s="9" t="inlineStr">
        <is>
          <t>ЗАК003</t>
        </is>
      </c>
      <c r="B6" s="9" t="inlineStr">
        <is>
          <t>ПОЛ003</t>
        </is>
      </c>
      <c r="C6" s="9" t="inlineStr">
        <is>
          <t>КАС003</t>
        </is>
      </c>
      <c r="D6" s="20" t="n">
        <v>46283.45833333334</v>
      </c>
      <c r="E6" s="9" t="inlineStr">
        <is>
          <t>органический</t>
        </is>
      </c>
      <c r="F6" s="9" t="inlineStr">
        <is>
          <t>Прямой вход</t>
        </is>
      </c>
      <c r="G6" s="9" t="inlineStr">
        <is>
          <t>Прямой запуск</t>
        </is>
      </c>
      <c r="H6" s="9" t="inlineStr">
        <is>
          <t>запуск бота без метки источника</t>
        </is>
      </c>
      <c r="I6" s="9" t="n">
        <v>1</v>
      </c>
      <c r="J6" s="9" t="n">
        <v>0.3666666666666666</v>
      </c>
      <c r="K6" s="9" t="inlineStr">
        <is>
          <t>явно классифицированный прямой запуск</t>
        </is>
      </c>
      <c r="L6" s="9" t="inlineStr">
        <is>
          <t>да</t>
        </is>
      </c>
    </row>
    <row r="7">
      <c r="A7" s="9" t="inlineStr">
        <is>
          <t>ЗАК004</t>
        </is>
      </c>
      <c r="B7" s="9" t="inlineStr">
        <is>
          <t>ПОЛ004</t>
        </is>
      </c>
      <c r="C7" s="9" t="inlineStr">
        <is>
          <t>КАС004</t>
        </is>
      </c>
      <c r="D7" s="20" t="n">
        <v>46278.41666666666</v>
      </c>
      <c r="E7" s="9" t="inlineStr">
        <is>
          <t>платный внешний</t>
        </is>
      </c>
      <c r="F7" s="9" t="inlineStr">
        <is>
          <t>Внешний канал А</t>
        </is>
      </c>
      <c r="G7" s="9" t="inlineStr">
        <is>
          <t>Размещение А-1</t>
        </is>
      </c>
      <c r="H7" s="9" t="inlineStr">
        <is>
          <t>переход по отслеживаемой ссылке</t>
        </is>
      </c>
      <c r="I7" s="9" t="n">
        <v>1</v>
      </c>
      <c r="J7" s="9" t="n">
        <v>154</v>
      </c>
      <c r="K7" s="9" t="inlineStr"/>
      <c r="L7" s="9" t="inlineStr">
        <is>
          <t>да</t>
        </is>
      </c>
    </row>
    <row r="8">
      <c r="A8" s="9" t="inlineStr">
        <is>
          <t>ЗАК004</t>
        </is>
      </c>
      <c r="B8" s="9" t="inlineStr">
        <is>
          <t>ПОЛ004</t>
        </is>
      </c>
      <c r="C8" s="9" t="inlineStr">
        <is>
          <t>КАС004</t>
        </is>
      </c>
      <c r="D8" s="20" t="n">
        <v>46278.41689814815</v>
      </c>
      <c r="E8" s="9" t="inlineStr">
        <is>
          <t>платный внешний</t>
        </is>
      </c>
      <c r="F8" s="9" t="inlineStr">
        <is>
          <t>Внешний канал А</t>
        </is>
      </c>
      <c r="G8" s="9" t="inlineStr">
        <is>
          <t>Размещение А-1</t>
        </is>
      </c>
      <c r="H8" s="9" t="inlineStr">
        <is>
          <t>запуск бота с меткой источника</t>
        </is>
      </c>
      <c r="I8" s="9" t="n">
        <v>0</v>
      </c>
      <c r="J8" s="9" t="n">
        <v>153.9944444444444</v>
      </c>
      <c r="K8" s="9" t="inlineStr">
        <is>
          <t>техническое продолжение того же касания</t>
        </is>
      </c>
      <c r="L8" s="9" t="inlineStr">
        <is>
          <t>да</t>
        </is>
      </c>
    </row>
    <row r="9">
      <c r="A9" s="9" t="inlineStr">
        <is>
          <t>ЗАК004</t>
        </is>
      </c>
      <c r="B9" s="9" t="inlineStr">
        <is>
          <t>ПОЛ004</t>
        </is>
      </c>
      <c r="C9" s="9" t="inlineStr">
        <is>
          <t>КАС005</t>
        </is>
      </c>
      <c r="D9" s="20" t="n">
        <v>46282.75</v>
      </c>
      <c r="E9" s="9" t="inlineStr">
        <is>
          <t>собственный</t>
        </is>
      </c>
      <c r="F9" s="9" t="inlineStr">
        <is>
          <t>Основной канал</t>
        </is>
      </c>
      <c r="G9" s="9" t="inlineStr">
        <is>
          <t>Нативный пост</t>
        </is>
      </c>
      <c r="H9" s="9" t="inlineStr">
        <is>
          <t>переход по отслеживаемой ссылке</t>
        </is>
      </c>
      <c r="I9" s="9" t="n">
        <v>1</v>
      </c>
      <c r="J9" s="9" t="n">
        <v>50</v>
      </c>
      <c r="K9" s="9" t="inlineStr"/>
      <c r="L9" s="9" t="inlineStr">
        <is>
          <t>да</t>
        </is>
      </c>
    </row>
    <row r="10">
      <c r="A10" s="9" t="inlineStr">
        <is>
          <t>ЗАК004</t>
        </is>
      </c>
      <c r="B10" s="9" t="inlineStr">
        <is>
          <t>ПОЛ004</t>
        </is>
      </c>
      <c r="C10" s="9" t="inlineStr">
        <is>
          <t>КАС005</t>
        </is>
      </c>
      <c r="D10" s="20" t="n">
        <v>46282.75017361111</v>
      </c>
      <c r="E10" s="9" t="inlineStr">
        <is>
          <t>собственный</t>
        </is>
      </c>
      <c r="F10" s="9" t="inlineStr">
        <is>
          <t>Основной канал</t>
        </is>
      </c>
      <c r="G10" s="9" t="inlineStr">
        <is>
          <t>Нативный пост</t>
        </is>
      </c>
      <c r="H10" s="9" t="inlineStr">
        <is>
          <t>запуск бота с меткой источника</t>
        </is>
      </c>
      <c r="I10" s="9" t="n">
        <v>0</v>
      </c>
      <c r="J10" s="9" t="n">
        <v>49.99583333333333</v>
      </c>
      <c r="K10" s="9" t="inlineStr">
        <is>
          <t>техническое продолжение того же касания</t>
        </is>
      </c>
      <c r="L10" s="9" t="inlineStr">
        <is>
          <t>да</t>
        </is>
      </c>
    </row>
    <row r="11">
      <c r="A11" s="9" t="inlineStr">
        <is>
          <t>ЗАК004</t>
        </is>
      </c>
      <c r="B11" s="9" t="inlineStr">
        <is>
          <t>ПОЛ004</t>
        </is>
      </c>
      <c r="C11" s="9" t="inlineStr">
        <is>
          <t>КАС006</t>
        </is>
      </c>
      <c r="D11" s="20" t="n">
        <v>46284.72916666666</v>
      </c>
      <c r="E11" s="9" t="inlineStr">
        <is>
          <t>собственный</t>
        </is>
      </c>
      <c r="F11" s="9" t="inlineStr">
        <is>
          <t>Основной канал</t>
        </is>
      </c>
      <c r="G11" s="9" t="inlineStr">
        <is>
          <t>Пост со скидкой</t>
        </is>
      </c>
      <c r="H11" s="9" t="inlineStr">
        <is>
          <t>переход по отслеживаемой ссылке</t>
        </is>
      </c>
      <c r="I11" s="9" t="n">
        <v>1</v>
      </c>
      <c r="J11" s="9" t="n">
        <v>2.5</v>
      </c>
      <c r="K11" s="9" t="inlineStr"/>
      <c r="L11" s="9" t="inlineStr">
        <is>
          <t>да</t>
        </is>
      </c>
    </row>
    <row r="12">
      <c r="A12" s="9" t="inlineStr">
        <is>
          <t>ЗАК004</t>
        </is>
      </c>
      <c r="B12" s="9" t="inlineStr">
        <is>
          <t>ПОЛ004</t>
        </is>
      </c>
      <c r="C12" s="9" t="inlineStr">
        <is>
          <t>КАС006</t>
        </is>
      </c>
      <c r="D12" s="20" t="n">
        <v>46284.72934027778</v>
      </c>
      <c r="E12" s="9" t="inlineStr">
        <is>
          <t>собственный</t>
        </is>
      </c>
      <c r="F12" s="9" t="inlineStr">
        <is>
          <t>Основной канал</t>
        </is>
      </c>
      <c r="G12" s="9" t="inlineStr">
        <is>
          <t>Пост со скидкой</t>
        </is>
      </c>
      <c r="H12" s="9" t="inlineStr">
        <is>
          <t>запуск бота с меткой источника</t>
        </is>
      </c>
      <c r="I12" s="9" t="n">
        <v>0</v>
      </c>
      <c r="J12" s="9" t="n">
        <v>2.495833333333333</v>
      </c>
      <c r="K12" s="9" t="inlineStr">
        <is>
          <t>техническое продолжение того же касания</t>
        </is>
      </c>
      <c r="L12" s="9" t="inlineStr">
        <is>
          <t>да</t>
        </is>
      </c>
    </row>
    <row r="13">
      <c r="A13" s="9" t="inlineStr">
        <is>
          <t>ЗАК005</t>
        </is>
      </c>
      <c r="B13" s="9" t="inlineStr">
        <is>
          <t>ПОЛ005</t>
        </is>
      </c>
      <c r="C13" s="9" t="inlineStr">
        <is>
          <t>КАС007</t>
        </is>
      </c>
      <c r="D13" s="20" t="n">
        <v>46282.375</v>
      </c>
      <c r="E13" s="9" t="inlineStr">
        <is>
          <t>платный внешний</t>
        </is>
      </c>
      <c r="F13" s="9" t="inlineStr">
        <is>
          <t>Внешний канал Б</t>
        </is>
      </c>
      <c r="G13" s="9" t="inlineStr">
        <is>
          <t>Размещение Б-1</t>
        </is>
      </c>
      <c r="H13" s="9" t="inlineStr">
        <is>
          <t>переход по отслеживаемой ссылке</t>
        </is>
      </c>
      <c r="I13" s="9" t="n">
        <v>1</v>
      </c>
      <c r="J13" s="9" t="n">
        <v>81</v>
      </c>
      <c r="K13" s="9" t="inlineStr"/>
      <c r="L13" s="9" t="inlineStr">
        <is>
          <t>да</t>
        </is>
      </c>
    </row>
    <row r="14">
      <c r="A14" s="9" t="inlineStr">
        <is>
          <t>ЗАК005</t>
        </is>
      </c>
      <c r="B14" s="9" t="inlineStr">
        <is>
          <t>ПОЛ005</t>
        </is>
      </c>
      <c r="C14" s="9" t="inlineStr">
        <is>
          <t>КАС007</t>
        </is>
      </c>
      <c r="D14" s="20" t="n">
        <v>46282.37523148148</v>
      </c>
      <c r="E14" s="9" t="inlineStr">
        <is>
          <t>платный внешний</t>
        </is>
      </c>
      <c r="F14" s="9" t="inlineStr">
        <is>
          <t>Внешний канал Б</t>
        </is>
      </c>
      <c r="G14" s="9" t="inlineStr">
        <is>
          <t>Размещение Б-1</t>
        </is>
      </c>
      <c r="H14" s="9" t="inlineStr">
        <is>
          <t>запуск бота с меткой источника</t>
        </is>
      </c>
      <c r="I14" s="9" t="n">
        <v>0</v>
      </c>
      <c r="J14" s="9" t="n">
        <v>80.99444444444444</v>
      </c>
      <c r="K14" s="9" t="inlineStr">
        <is>
          <t>техническое продолжение того же касания</t>
        </is>
      </c>
      <c r="L14" s="9" t="inlineStr">
        <is>
          <t>да</t>
        </is>
      </c>
    </row>
    <row r="15">
      <c r="A15" s="9" t="inlineStr">
        <is>
          <t>ЗАК005</t>
        </is>
      </c>
      <c r="B15" s="9" t="inlineStr">
        <is>
          <t>ПОЛ005</t>
        </is>
      </c>
      <c r="C15" s="9" t="inlineStr">
        <is>
          <t>КАС008</t>
        </is>
      </c>
      <c r="D15" s="20" t="n">
        <v>46284.5</v>
      </c>
      <c r="E15" s="9" t="inlineStr">
        <is>
          <t>собственный</t>
        </is>
      </c>
      <c r="F15" s="9" t="inlineStr">
        <is>
          <t>Основной канал</t>
        </is>
      </c>
      <c r="G15" s="9" t="inlineStr">
        <is>
          <t>Продающий пост запуска</t>
        </is>
      </c>
      <c r="H15" s="9" t="inlineStr">
        <is>
          <t>переход по отслеживаемой ссылке</t>
        </is>
      </c>
      <c r="I15" s="9" t="n">
        <v>1</v>
      </c>
      <c r="J15" s="9" t="n">
        <v>30</v>
      </c>
      <c r="K15" s="9" t="inlineStr"/>
      <c r="L15" s="9" t="inlineStr">
        <is>
          <t>да</t>
        </is>
      </c>
    </row>
    <row r="16">
      <c r="A16" s="9" t="inlineStr">
        <is>
          <t>ЗАК005</t>
        </is>
      </c>
      <c r="B16" s="9" t="inlineStr">
        <is>
          <t>ПОЛ005</t>
        </is>
      </c>
      <c r="C16" s="9" t="inlineStr">
        <is>
          <t>КАС008</t>
        </is>
      </c>
      <c r="D16" s="20" t="n">
        <v>46284.50017361111</v>
      </c>
      <c r="E16" s="9" t="inlineStr">
        <is>
          <t>собственный</t>
        </is>
      </c>
      <c r="F16" s="9" t="inlineStr">
        <is>
          <t>Основной канал</t>
        </is>
      </c>
      <c r="G16" s="9" t="inlineStr">
        <is>
          <t>Продающий пост запуска</t>
        </is>
      </c>
      <c r="H16" s="9" t="inlineStr">
        <is>
          <t>запуск бота с меткой источника</t>
        </is>
      </c>
      <c r="I16" s="9" t="n">
        <v>0</v>
      </c>
      <c r="J16" s="9" t="n">
        <v>29.99583333333333</v>
      </c>
      <c r="K16" s="9" t="inlineStr">
        <is>
          <t>техническое продолжение того же касания</t>
        </is>
      </c>
      <c r="L16" s="9" t="inlineStr">
        <is>
          <t>да</t>
        </is>
      </c>
    </row>
    <row r="17">
      <c r="A17" s="9" t="inlineStr">
        <is>
          <t>ЗАК006</t>
        </is>
      </c>
      <c r="B17" s="9" t="inlineStr">
        <is>
          <t>ПОЛ006</t>
        </is>
      </c>
      <c r="C17" s="9" t="inlineStr">
        <is>
          <t>КАС009</t>
        </is>
      </c>
      <c r="D17" s="20" t="n">
        <v>46276.5</v>
      </c>
      <c r="E17" s="9" t="inlineStr">
        <is>
          <t>платный внешний</t>
        </is>
      </c>
      <c r="F17" s="9" t="inlineStr">
        <is>
          <t>Внешний канал А</t>
        </is>
      </c>
      <c r="G17" s="9" t="inlineStr">
        <is>
          <t>Размещение А-1</t>
        </is>
      </c>
      <c r="H17" s="9" t="inlineStr">
        <is>
          <t>переход по отслеживаемой ссылке</t>
        </is>
      </c>
      <c r="I17" s="9" t="n">
        <v>1</v>
      </c>
      <c r="J17" s="9" t="n">
        <v>246</v>
      </c>
      <c r="K17" s="9" t="inlineStr"/>
      <c r="L17" s="9" t="inlineStr">
        <is>
          <t>да</t>
        </is>
      </c>
    </row>
    <row r="18">
      <c r="A18" s="9" t="inlineStr">
        <is>
          <t>ЗАК006</t>
        </is>
      </c>
      <c r="B18" s="9" t="inlineStr">
        <is>
          <t>ПОЛ006</t>
        </is>
      </c>
      <c r="C18" s="9" t="inlineStr">
        <is>
          <t>КАС009</t>
        </is>
      </c>
      <c r="D18" s="20" t="n">
        <v>46276.50023148148</v>
      </c>
      <c r="E18" s="9" t="inlineStr">
        <is>
          <t>платный внешний</t>
        </is>
      </c>
      <c r="F18" s="9" t="inlineStr">
        <is>
          <t>Внешний канал А</t>
        </is>
      </c>
      <c r="G18" s="9" t="inlineStr">
        <is>
          <t>Размещение А-1</t>
        </is>
      </c>
      <c r="H18" s="9" t="inlineStr">
        <is>
          <t>запуск бота с меткой источника</t>
        </is>
      </c>
      <c r="I18" s="9" t="n">
        <v>0</v>
      </c>
      <c r="J18" s="9" t="n">
        <v>245.9944444444444</v>
      </c>
      <c r="K18" s="9" t="inlineStr">
        <is>
          <t>техническое продолжение того же касания</t>
        </is>
      </c>
      <c r="L18" s="9" t="inlineStr">
        <is>
          <t>да</t>
        </is>
      </c>
    </row>
    <row r="19">
      <c r="A19" s="9" t="inlineStr">
        <is>
          <t>ЗАК006</t>
        </is>
      </c>
      <c r="B19" s="9" t="inlineStr">
        <is>
          <t>ПОЛ006</t>
        </is>
      </c>
      <c r="C19" s="9" t="inlineStr">
        <is>
          <t>КАС010</t>
        </is>
      </c>
      <c r="D19" s="20" t="n">
        <v>46284.41666666666</v>
      </c>
      <c r="E19" s="9" t="inlineStr">
        <is>
          <t>собственный</t>
        </is>
      </c>
      <c r="F19" s="9" t="inlineStr">
        <is>
          <t>Основной канал</t>
        </is>
      </c>
      <c r="G19" s="9" t="inlineStr">
        <is>
          <t>Пост со скидкой</t>
        </is>
      </c>
      <c r="H19" s="9" t="inlineStr">
        <is>
          <t>переход по отслеживаемой ссылке</t>
        </is>
      </c>
      <c r="I19" s="9" t="n">
        <v>1</v>
      </c>
      <c r="J19" s="9" t="n">
        <v>56</v>
      </c>
      <c r="K19" s="9" t="inlineStr"/>
      <c r="L19" s="9" t="inlineStr">
        <is>
          <t>да</t>
        </is>
      </c>
    </row>
    <row r="20">
      <c r="A20" s="9" t="inlineStr">
        <is>
          <t>ЗАК006</t>
        </is>
      </c>
      <c r="B20" s="9" t="inlineStr">
        <is>
          <t>ПОЛ006</t>
        </is>
      </c>
      <c r="C20" s="9" t="inlineStr">
        <is>
          <t>КАС010</t>
        </is>
      </c>
      <c r="D20" s="20" t="n">
        <v>46284.41684027778</v>
      </c>
      <c r="E20" s="9" t="inlineStr">
        <is>
          <t>собственный</t>
        </is>
      </c>
      <c r="F20" s="9" t="inlineStr">
        <is>
          <t>Основной канал</t>
        </is>
      </c>
      <c r="G20" s="9" t="inlineStr">
        <is>
          <t>Пост со скидкой</t>
        </is>
      </c>
      <c r="H20" s="9" t="inlineStr">
        <is>
          <t>запуск бота с меткой источника</t>
        </is>
      </c>
      <c r="I20" s="9" t="n">
        <v>0</v>
      </c>
      <c r="J20" s="9" t="n">
        <v>55.99583333333333</v>
      </c>
      <c r="K20" s="9" t="inlineStr">
        <is>
          <t>техническое продолжение того же касания</t>
        </is>
      </c>
      <c r="L20" s="9" t="inlineStr">
        <is>
          <t>да</t>
        </is>
      </c>
    </row>
    <row r="21">
      <c r="A21" s="9" t="inlineStr">
        <is>
          <t>ЗАК007</t>
        </is>
      </c>
      <c r="B21" s="9" t="inlineStr">
        <is>
          <t>ПОЛ007</t>
        </is>
      </c>
      <c r="C21" s="9" t="inlineStr">
        <is>
          <t>КАС011</t>
        </is>
      </c>
      <c r="D21" s="20" t="n">
        <v>46280.41666666666</v>
      </c>
      <c r="E21" s="9" t="inlineStr">
        <is>
          <t>платный внешний</t>
        </is>
      </c>
      <c r="F21" s="9" t="inlineStr">
        <is>
          <t>Внешний канал А</t>
        </is>
      </c>
      <c r="G21" s="9" t="inlineStr">
        <is>
          <t>Размещение А-1</t>
        </is>
      </c>
      <c r="H21" s="9" t="inlineStr">
        <is>
          <t>переход по отслеживаемой ссылке</t>
        </is>
      </c>
      <c r="I21" s="9" t="n">
        <v>1</v>
      </c>
      <c r="J21" s="9" t="n">
        <v>154</v>
      </c>
      <c r="K21" s="9" t="inlineStr"/>
      <c r="L21" s="9" t="inlineStr">
        <is>
          <t>да</t>
        </is>
      </c>
    </row>
    <row r="22">
      <c r="A22" s="9" t="inlineStr">
        <is>
          <t>ЗАК007</t>
        </is>
      </c>
      <c r="B22" s="9" t="inlineStr">
        <is>
          <t>ПОЛ007</t>
        </is>
      </c>
      <c r="C22" s="9" t="inlineStr">
        <is>
          <t>КАС011</t>
        </is>
      </c>
      <c r="D22" s="20" t="n">
        <v>46280.41689814815</v>
      </c>
      <c r="E22" s="9" t="inlineStr">
        <is>
          <t>платный внешний</t>
        </is>
      </c>
      <c r="F22" s="9" t="inlineStr">
        <is>
          <t>Внешний канал А</t>
        </is>
      </c>
      <c r="G22" s="9" t="inlineStr">
        <is>
          <t>Размещение А-1</t>
        </is>
      </c>
      <c r="H22" s="9" t="inlineStr">
        <is>
          <t>запуск бота с меткой источника</t>
        </is>
      </c>
      <c r="I22" s="9" t="n">
        <v>0</v>
      </c>
      <c r="J22" s="9" t="n">
        <v>153.9944444444444</v>
      </c>
      <c r="K22" s="9" t="inlineStr">
        <is>
          <t>техническое продолжение того же касания</t>
        </is>
      </c>
      <c r="L22" s="9" t="inlineStr">
        <is>
          <t>да</t>
        </is>
      </c>
    </row>
    <row r="23">
      <c r="A23" s="9" t="inlineStr">
        <is>
          <t>ЗАК007</t>
        </is>
      </c>
      <c r="B23" s="9" t="inlineStr">
        <is>
          <t>ПОЛ007</t>
        </is>
      </c>
      <c r="C23" s="9" t="inlineStr">
        <is>
          <t>КАС012</t>
        </is>
      </c>
      <c r="D23" s="20" t="n">
        <v>46282.5</v>
      </c>
      <c r="E23" s="9" t="inlineStr">
        <is>
          <t>платный внешний</t>
        </is>
      </c>
      <c r="F23" s="9" t="inlineStr">
        <is>
          <t>Внешний канал Б</t>
        </is>
      </c>
      <c r="G23" s="9" t="inlineStr">
        <is>
          <t>Размещение Б-1</t>
        </is>
      </c>
      <c r="H23" s="9" t="inlineStr">
        <is>
          <t>переход по отслеживаемой ссылке</t>
        </is>
      </c>
      <c r="I23" s="9" t="n">
        <v>1</v>
      </c>
      <c r="J23" s="9" t="n">
        <v>104</v>
      </c>
      <c r="K23" s="9" t="inlineStr"/>
      <c r="L23" s="9" t="inlineStr">
        <is>
          <t>да</t>
        </is>
      </c>
    </row>
    <row r="24">
      <c r="A24" s="9" t="inlineStr">
        <is>
          <t>ЗАК007</t>
        </is>
      </c>
      <c r="B24" s="9" t="inlineStr">
        <is>
          <t>ПОЛ007</t>
        </is>
      </c>
      <c r="C24" s="9" t="inlineStr">
        <is>
          <t>КАС012</t>
        </is>
      </c>
      <c r="D24" s="20" t="n">
        <v>46282.50023148148</v>
      </c>
      <c r="E24" s="9" t="inlineStr">
        <is>
          <t>платный внешний</t>
        </is>
      </c>
      <c r="F24" s="9" t="inlineStr">
        <is>
          <t>Внешний канал Б</t>
        </is>
      </c>
      <c r="G24" s="9" t="inlineStr">
        <is>
          <t>Размещение Б-1</t>
        </is>
      </c>
      <c r="H24" s="9" t="inlineStr">
        <is>
          <t>запуск бота с меткой источника</t>
        </is>
      </c>
      <c r="I24" s="9" t="n">
        <v>0</v>
      </c>
      <c r="J24" s="9" t="n">
        <v>103.9944444444444</v>
      </c>
      <c r="K24" s="9" t="inlineStr">
        <is>
          <t>техническое продолжение того же касания</t>
        </is>
      </c>
      <c r="L24" s="9" t="inlineStr">
        <is>
          <t>да</t>
        </is>
      </c>
    </row>
    <row r="25">
      <c r="A25" s="9" t="inlineStr">
        <is>
          <t>ЗАК007</t>
        </is>
      </c>
      <c r="B25" s="9" t="inlineStr">
        <is>
          <t>ПОЛ007</t>
        </is>
      </c>
      <c r="C25" s="9" t="inlineStr">
        <is>
          <t>КАС013</t>
        </is>
      </c>
      <c r="D25" s="20" t="n">
        <v>46285.79166666666</v>
      </c>
      <c r="E25" s="9" t="inlineStr">
        <is>
          <t>собственный</t>
        </is>
      </c>
      <c r="F25" s="9" t="inlineStr">
        <is>
          <t>Основной канал</t>
        </is>
      </c>
      <c r="G25" s="9" t="inlineStr">
        <is>
          <t>Пост со скидкой</t>
        </is>
      </c>
      <c r="H25" s="9" t="inlineStr">
        <is>
          <t>переход по отслеживаемой ссылке</t>
        </is>
      </c>
      <c r="I25" s="9" t="n">
        <v>1</v>
      </c>
      <c r="J25" s="9" t="n">
        <v>25</v>
      </c>
      <c r="K25" s="9" t="inlineStr"/>
      <c r="L25" s="9" t="inlineStr">
        <is>
          <t>да</t>
        </is>
      </c>
    </row>
    <row r="26">
      <c r="A26" s="9" t="inlineStr">
        <is>
          <t>ЗАК007</t>
        </is>
      </c>
      <c r="B26" s="9" t="inlineStr">
        <is>
          <t>ПОЛ007</t>
        </is>
      </c>
      <c r="C26" s="9" t="inlineStr">
        <is>
          <t>КАС013</t>
        </is>
      </c>
      <c r="D26" s="20" t="n">
        <v>46285.79184027778</v>
      </c>
      <c r="E26" s="9" t="inlineStr">
        <is>
          <t>собственный</t>
        </is>
      </c>
      <c r="F26" s="9" t="inlineStr">
        <is>
          <t>Основной канал</t>
        </is>
      </c>
      <c r="G26" s="9" t="inlineStr">
        <is>
          <t>Пост со скидкой</t>
        </is>
      </c>
      <c r="H26" s="9" t="inlineStr">
        <is>
          <t>запуск бота с меткой источника</t>
        </is>
      </c>
      <c r="I26" s="9" t="n">
        <v>0</v>
      </c>
      <c r="J26" s="9" t="n">
        <v>24.99583333333333</v>
      </c>
      <c r="K26" s="9" t="inlineStr">
        <is>
          <t>техническое продолжение того же касания</t>
        </is>
      </c>
      <c r="L26" s="9" t="inlineStr">
        <is>
          <t>да</t>
        </is>
      </c>
    </row>
    <row r="27">
      <c r="A27" s="9" t="inlineStr">
        <is>
          <t>ЗАК008</t>
        </is>
      </c>
      <c r="B27" s="9" t="inlineStr">
        <is>
          <t>ПОЛ008</t>
        </is>
      </c>
      <c r="C27" s="9" t="inlineStr">
        <is>
          <t>КАС014</t>
        </is>
      </c>
      <c r="D27" s="20" t="n">
        <v>46286.66666666666</v>
      </c>
      <c r="E27" s="9" t="inlineStr">
        <is>
          <t>платный внешний</t>
        </is>
      </c>
      <c r="F27" s="9" t="inlineStr">
        <is>
          <t>Внешний канал Б</t>
        </is>
      </c>
      <c r="G27" s="9" t="inlineStr">
        <is>
          <t>Размещение Б-1</t>
        </is>
      </c>
      <c r="H27" s="9" t="inlineStr">
        <is>
          <t>переход по отслеживаемой ссылке</t>
        </is>
      </c>
      <c r="I27" s="9" t="n">
        <v>1</v>
      </c>
      <c r="J27" s="9" t="n">
        <v>20</v>
      </c>
      <c r="K27" s="9" t="inlineStr"/>
      <c r="L27" s="9" t="inlineStr">
        <is>
          <t>да</t>
        </is>
      </c>
    </row>
    <row r="28">
      <c r="A28" s="9" t="inlineStr">
        <is>
          <t>ЗАК008</t>
        </is>
      </c>
      <c r="B28" s="9" t="inlineStr">
        <is>
          <t>ПОЛ008</t>
        </is>
      </c>
      <c r="C28" s="9" t="inlineStr">
        <is>
          <t>КАС014</t>
        </is>
      </c>
      <c r="D28" s="20" t="n">
        <v>46286.66689814815</v>
      </c>
      <c r="E28" s="9" t="inlineStr">
        <is>
          <t>платный внешний</t>
        </is>
      </c>
      <c r="F28" s="9" t="inlineStr">
        <is>
          <t>Внешний канал Б</t>
        </is>
      </c>
      <c r="G28" s="9" t="inlineStr">
        <is>
          <t>Размещение Б-1</t>
        </is>
      </c>
      <c r="H28" s="9" t="inlineStr">
        <is>
          <t>запуск бота с меткой источника</t>
        </is>
      </c>
      <c r="I28" s="9" t="n">
        <v>0</v>
      </c>
      <c r="J28" s="9" t="n">
        <v>19.99444444444444</v>
      </c>
      <c r="K28" s="9" t="inlineStr">
        <is>
          <t>техническое продолжение того же касания</t>
        </is>
      </c>
      <c r="L28" s="9" t="inlineStr">
        <is>
          <t>да</t>
        </is>
      </c>
    </row>
    <row r="29">
      <c r="A29" s="9" t="inlineStr">
        <is>
          <t>ЗАК010</t>
        </is>
      </c>
      <c r="B29" s="9" t="inlineStr">
        <is>
          <t>ПОЛ010</t>
        </is>
      </c>
      <c r="C29" s="9" t="inlineStr">
        <is>
          <t>КАС015</t>
        </is>
      </c>
      <c r="D29" s="20" t="n">
        <v>46284.58333333334</v>
      </c>
      <c r="E29" s="9" t="inlineStr">
        <is>
          <t>органический</t>
        </is>
      </c>
      <c r="F29" s="9" t="inlineStr">
        <is>
          <t>Прямой вход</t>
        </is>
      </c>
      <c r="G29" s="9" t="inlineStr">
        <is>
          <t>Прямой запуск</t>
        </is>
      </c>
      <c r="H29" s="9" t="inlineStr">
        <is>
          <t>запуск бота без метки источника</t>
        </is>
      </c>
      <c r="I29" s="9" t="n">
        <v>1</v>
      </c>
      <c r="J29" s="9" t="n">
        <v>120</v>
      </c>
      <c r="K29" s="9" t="inlineStr">
        <is>
          <t>прямой вход до платного касания</t>
        </is>
      </c>
      <c r="L29" s="9" t="inlineStr">
        <is>
          <t>да</t>
        </is>
      </c>
    </row>
    <row r="30">
      <c r="A30" s="9" t="inlineStr">
        <is>
          <t>ЗАК010</t>
        </is>
      </c>
      <c r="B30" s="9" t="inlineStr">
        <is>
          <t>ПОЛ010</t>
        </is>
      </c>
      <c r="C30" s="9" t="inlineStr">
        <is>
          <t>КАС016</t>
        </is>
      </c>
      <c r="D30" s="20" t="n">
        <v>46288.45833333334</v>
      </c>
      <c r="E30" s="9" t="inlineStr">
        <is>
          <t>платный внешний</t>
        </is>
      </c>
      <c r="F30" s="9" t="inlineStr">
        <is>
          <t>Внешний канал Б</t>
        </is>
      </c>
      <c r="G30" s="9" t="inlineStr">
        <is>
          <t>Размещение Б-1</t>
        </is>
      </c>
      <c r="H30" s="9" t="inlineStr">
        <is>
          <t>переход по отслеживаемой ссылке</t>
        </is>
      </c>
      <c r="I30" s="9" t="n">
        <v>1</v>
      </c>
      <c r="J30" s="9" t="n">
        <v>27</v>
      </c>
      <c r="K30" s="9" t="inlineStr"/>
      <c r="L30" s="9" t="inlineStr">
        <is>
          <t>да</t>
        </is>
      </c>
    </row>
    <row r="31">
      <c r="A31" s="9" t="inlineStr">
        <is>
          <t>ЗАК010</t>
        </is>
      </c>
      <c r="B31" s="9" t="inlineStr">
        <is>
          <t>ПОЛ010</t>
        </is>
      </c>
      <c r="C31" s="9" t="inlineStr">
        <is>
          <t>КАС016</t>
        </is>
      </c>
      <c r="D31" s="20" t="n">
        <v>46288.45856481481</v>
      </c>
      <c r="E31" s="9" t="inlineStr">
        <is>
          <t>платный внешний</t>
        </is>
      </c>
      <c r="F31" s="9" t="inlineStr">
        <is>
          <t>Внешний канал Б</t>
        </is>
      </c>
      <c r="G31" s="9" t="inlineStr">
        <is>
          <t>Размещение Б-1</t>
        </is>
      </c>
      <c r="H31" s="9" t="inlineStr">
        <is>
          <t>запуск бота с меткой источника</t>
        </is>
      </c>
      <c r="I31" s="9" t="n">
        <v>0</v>
      </c>
      <c r="J31" s="9" t="n">
        <v>26.99444444444444</v>
      </c>
      <c r="K31" s="9" t="inlineStr">
        <is>
          <t>техническое продолжение того же касания</t>
        </is>
      </c>
      <c r="L31" s="9" t="inlineStr">
        <is>
          <t>да</t>
        </is>
      </c>
    </row>
    <row r="32">
      <c r="A32" s="9" t="inlineStr">
        <is>
          <t>ЗАК011</t>
        </is>
      </c>
      <c r="B32" s="9" t="inlineStr">
        <is>
          <t>ПОЛ011</t>
        </is>
      </c>
      <c r="C32" s="9" t="inlineStr">
        <is>
          <t>КАС017</t>
        </is>
      </c>
      <c r="D32" s="20" t="n">
        <v>46279.75</v>
      </c>
      <c r="E32" s="9" t="inlineStr">
        <is>
          <t>платный внешний</t>
        </is>
      </c>
      <c r="F32" s="9" t="inlineStr">
        <is>
          <t>Внешний канал А</t>
        </is>
      </c>
      <c r="G32" s="9" t="inlineStr">
        <is>
          <t>Размещение А-1</t>
        </is>
      </c>
      <c r="H32" s="9" t="inlineStr">
        <is>
          <t>переход по отслеживаемой ссылке</t>
        </is>
      </c>
      <c r="I32" s="9" t="n">
        <v>1</v>
      </c>
      <c r="J32" s="9" t="n">
        <v>48</v>
      </c>
      <c r="K32" s="9" t="inlineStr"/>
      <c r="L32" s="9" t="inlineStr">
        <is>
          <t>да</t>
        </is>
      </c>
    </row>
    <row r="33">
      <c r="A33" s="9" t="inlineStr">
        <is>
          <t>ЗАК011</t>
        </is>
      </c>
      <c r="B33" s="9" t="inlineStr">
        <is>
          <t>ПОЛ011</t>
        </is>
      </c>
      <c r="C33" s="9" t="inlineStr">
        <is>
          <t>КАС017</t>
        </is>
      </c>
      <c r="D33" s="20" t="n">
        <v>46279.75023148148</v>
      </c>
      <c r="E33" s="9" t="inlineStr">
        <is>
          <t>платный внешний</t>
        </is>
      </c>
      <c r="F33" s="9" t="inlineStr">
        <is>
          <t>Внешний канал А</t>
        </is>
      </c>
      <c r="G33" s="9" t="inlineStr">
        <is>
          <t>Размещение А-1</t>
        </is>
      </c>
      <c r="H33" s="9" t="inlineStr">
        <is>
          <t>запуск бота с меткой источника</t>
        </is>
      </c>
      <c r="I33" s="9" t="n">
        <v>0</v>
      </c>
      <c r="J33" s="9" t="n">
        <v>47.99444444444445</v>
      </c>
      <c r="K33" s="9" t="inlineStr">
        <is>
          <t>техническое продолжение того же касания</t>
        </is>
      </c>
      <c r="L33" s="9" t="inlineStr">
        <is>
          <t>да</t>
        </is>
      </c>
    </row>
    <row r="34">
      <c r="A34" s="9" t="inlineStr">
        <is>
          <t>ЗАК012</t>
        </is>
      </c>
      <c r="B34" s="9" t="inlineStr">
        <is>
          <t>ПОЛ011</t>
        </is>
      </c>
      <c r="C34" s="9" t="inlineStr">
        <is>
          <t>КАС018</t>
        </is>
      </c>
      <c r="D34" s="20" t="n">
        <v>46292.5</v>
      </c>
      <c r="E34" s="9" t="inlineStr">
        <is>
          <t>собственный</t>
        </is>
      </c>
      <c r="F34" s="9" t="inlineStr">
        <is>
          <t>Основной канал</t>
        </is>
      </c>
      <c r="G34" s="9" t="inlineStr">
        <is>
          <t>Нативный пост</t>
        </is>
      </c>
      <c r="H34" s="9" t="inlineStr">
        <is>
          <t>переход по отслеживаемой ссылке</t>
        </is>
      </c>
      <c r="I34" s="9" t="n">
        <v>1</v>
      </c>
      <c r="J34" s="9" t="n">
        <v>30</v>
      </c>
      <c r="K34" s="9" t="inlineStr"/>
      <c r="L34" s="9" t="inlineStr">
        <is>
          <t>да</t>
        </is>
      </c>
    </row>
    <row r="35">
      <c r="A35" s="9" t="inlineStr">
        <is>
          <t>ЗАК012</t>
        </is>
      </c>
      <c r="B35" s="9" t="inlineStr">
        <is>
          <t>ПОЛ011</t>
        </is>
      </c>
      <c r="C35" s="9" t="inlineStr">
        <is>
          <t>КАС018</t>
        </is>
      </c>
      <c r="D35" s="20" t="n">
        <v>46292.50017361111</v>
      </c>
      <c r="E35" s="9" t="inlineStr">
        <is>
          <t>собственный</t>
        </is>
      </c>
      <c r="F35" s="9" t="inlineStr">
        <is>
          <t>Основной канал</t>
        </is>
      </c>
      <c r="G35" s="9" t="inlineStr">
        <is>
          <t>Нативный пост</t>
        </is>
      </c>
      <c r="H35" s="9" t="inlineStr">
        <is>
          <t>запуск бота с меткой источника</t>
        </is>
      </c>
      <c r="I35" s="9" t="n">
        <v>0</v>
      </c>
      <c r="J35" s="9" t="n">
        <v>29.99583333333333</v>
      </c>
      <c r="K35" s="9" t="inlineStr">
        <is>
          <t>техническое продолжение того же касания</t>
        </is>
      </c>
      <c r="L35" s="9" t="inlineStr">
        <is>
          <t>да</t>
        </is>
      </c>
    </row>
  </sheetData>
  <autoFilter ref="A1:L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21" customWidth="1" min="4" max="4"/>
    <col width="17" customWidth="1" min="5" max="5"/>
    <col width="17" customWidth="1" min="6" max="6"/>
    <col width="28" customWidth="1" min="7" max="7"/>
    <col width="22" customWidth="1" min="8" max="8"/>
    <col width="11" customWidth="1" min="9" max="9"/>
  </cols>
  <sheetData>
    <row r="1">
      <c r="A1" s="12" t="inlineStr">
        <is>
          <t>заказ</t>
        </is>
      </c>
      <c r="B1" s="12" t="inlineStr">
        <is>
          <t>пользователь</t>
        </is>
      </c>
      <c r="C1" s="12" t="inlineStr">
        <is>
          <t>группа_касания</t>
        </is>
      </c>
      <c r="D1" s="12" t="inlineStr">
        <is>
          <t>время_события</t>
        </is>
      </c>
      <c r="E1" s="12" t="inlineStr">
        <is>
          <t>тип_источника</t>
        </is>
      </c>
      <c r="F1" s="12" t="inlineStr">
        <is>
          <t>канал</t>
        </is>
      </c>
      <c r="G1" s="12" t="inlineStr">
        <is>
          <t>размещение</t>
        </is>
      </c>
      <c r="H1" s="12" t="inlineStr">
        <is>
          <t>дней_до_оплаты</t>
        </is>
      </c>
      <c r="I1" s="12" t="inlineStr">
        <is>
          <t>синтетика</t>
        </is>
      </c>
    </row>
    <row r="2">
      <c r="A2" s="9" t="inlineStr">
        <is>
          <t>ЗАК001</t>
        </is>
      </c>
      <c r="B2" s="9" t="inlineStr">
        <is>
          <t>ПОЛ001</t>
        </is>
      </c>
      <c r="C2" s="9" t="inlineStr">
        <is>
          <t>КАС001</t>
        </is>
      </c>
      <c r="D2" s="20" t="n">
        <v>46280.50347222222</v>
      </c>
      <c r="E2" s="9" t="inlineStr">
        <is>
          <t>платный внешний</t>
        </is>
      </c>
      <c r="F2" s="9" t="inlineStr">
        <is>
          <t>Внешний канал А</t>
        </is>
      </c>
      <c r="G2" s="9" t="inlineStr">
        <is>
          <t>Размещение А-1</t>
        </is>
      </c>
      <c r="H2" s="9" t="n">
        <v>0.01875</v>
      </c>
      <c r="I2" s="9" t="inlineStr">
        <is>
          <t>да</t>
        </is>
      </c>
    </row>
    <row r="3">
      <c r="A3" s="9" t="inlineStr">
        <is>
          <t>ЗАК002</t>
        </is>
      </c>
      <c r="B3" s="9" t="inlineStr">
        <is>
          <t>ПОЛ002</t>
        </is>
      </c>
      <c r="C3" s="9" t="inlineStr">
        <is>
          <t>КАС002</t>
        </is>
      </c>
      <c r="D3" s="20" t="n">
        <v>46282.79861111111</v>
      </c>
      <c r="E3" s="9" t="inlineStr">
        <is>
          <t>собственный</t>
        </is>
      </c>
      <c r="F3" s="9" t="inlineStr">
        <is>
          <t>Основной канал</t>
        </is>
      </c>
      <c r="G3" s="9" t="inlineStr">
        <is>
          <t>Собственный продающий пост</t>
        </is>
      </c>
      <c r="H3" s="9" t="n">
        <v>0.02222222222222222</v>
      </c>
      <c r="I3" s="9" t="inlineStr">
        <is>
          <t>да</t>
        </is>
      </c>
    </row>
    <row r="4">
      <c r="A4" s="9" t="inlineStr">
        <is>
          <t>ЗАК003</t>
        </is>
      </c>
      <c r="B4" s="9" t="inlineStr">
        <is>
          <t>ПОЛ003</t>
        </is>
      </c>
      <c r="C4" s="9" t="inlineStr">
        <is>
          <t>КАС003</t>
        </is>
      </c>
      <c r="D4" s="20" t="n">
        <v>46283.45833333334</v>
      </c>
      <c r="E4" s="9" t="inlineStr">
        <is>
          <t>органический</t>
        </is>
      </c>
      <c r="F4" s="9" t="inlineStr">
        <is>
          <t>Прямой вход</t>
        </is>
      </c>
      <c r="G4" s="9" t="inlineStr">
        <is>
          <t>Прямой запуск</t>
        </is>
      </c>
      <c r="H4" s="9" t="n">
        <v>0.01527777777777778</v>
      </c>
      <c r="I4" s="9" t="inlineStr">
        <is>
          <t>да</t>
        </is>
      </c>
    </row>
    <row r="5">
      <c r="A5" s="9" t="inlineStr">
        <is>
          <t>ЗАК004</t>
        </is>
      </c>
      <c r="B5" s="9" t="inlineStr">
        <is>
          <t>ПОЛ004</t>
        </is>
      </c>
      <c r="C5" s="9" t="inlineStr">
        <is>
          <t>КАС004</t>
        </is>
      </c>
      <c r="D5" s="20" t="n">
        <v>46278.41666666666</v>
      </c>
      <c r="E5" s="9" t="inlineStr">
        <is>
          <t>платный внешний</t>
        </is>
      </c>
      <c r="F5" s="9" t="inlineStr">
        <is>
          <t>Внешний канал А</t>
        </is>
      </c>
      <c r="G5" s="9" t="inlineStr">
        <is>
          <t>Размещение А-1</t>
        </is>
      </c>
      <c r="H5" s="9" t="n">
        <v>6.416666666666667</v>
      </c>
      <c r="I5" s="9" t="inlineStr">
        <is>
          <t>да</t>
        </is>
      </c>
    </row>
    <row r="6">
      <c r="A6" s="9" t="inlineStr">
        <is>
          <t>ЗАК004</t>
        </is>
      </c>
      <c r="B6" s="9" t="inlineStr">
        <is>
          <t>ПОЛ004</t>
        </is>
      </c>
      <c r="C6" s="9" t="inlineStr">
        <is>
          <t>КАС005</t>
        </is>
      </c>
      <c r="D6" s="20" t="n">
        <v>46282.75</v>
      </c>
      <c r="E6" s="9" t="inlineStr">
        <is>
          <t>собственный</t>
        </is>
      </c>
      <c r="F6" s="9" t="inlineStr">
        <is>
          <t>Основной канал</t>
        </is>
      </c>
      <c r="G6" s="9" t="inlineStr">
        <is>
          <t>Нативный пост</t>
        </is>
      </c>
      <c r="H6" s="9" t="n">
        <v>2.083333333333333</v>
      </c>
      <c r="I6" s="9" t="inlineStr">
        <is>
          <t>да</t>
        </is>
      </c>
    </row>
    <row r="7">
      <c r="A7" s="9" t="inlineStr">
        <is>
          <t>ЗАК004</t>
        </is>
      </c>
      <c r="B7" s="9" t="inlineStr">
        <is>
          <t>ПОЛ004</t>
        </is>
      </c>
      <c r="C7" s="9" t="inlineStr">
        <is>
          <t>КАС006</t>
        </is>
      </c>
      <c r="D7" s="20" t="n">
        <v>46284.72916666666</v>
      </c>
      <c r="E7" s="9" t="inlineStr">
        <is>
          <t>собственный</t>
        </is>
      </c>
      <c r="F7" s="9" t="inlineStr">
        <is>
          <t>Основной канал</t>
        </is>
      </c>
      <c r="G7" s="9" t="inlineStr">
        <is>
          <t>Пост со скидкой</t>
        </is>
      </c>
      <c r="H7" s="9" t="n">
        <v>0.1041666666666667</v>
      </c>
      <c r="I7" s="9" t="inlineStr">
        <is>
          <t>да</t>
        </is>
      </c>
    </row>
    <row r="8">
      <c r="A8" s="9" t="inlineStr">
        <is>
          <t>ЗАК005</t>
        </is>
      </c>
      <c r="B8" s="9" t="inlineStr">
        <is>
          <t>ПОЛ005</t>
        </is>
      </c>
      <c r="C8" s="9" t="inlineStr">
        <is>
          <t>КАС007</t>
        </is>
      </c>
      <c r="D8" s="20" t="n">
        <v>46282.375</v>
      </c>
      <c r="E8" s="9" t="inlineStr">
        <is>
          <t>платный внешний</t>
        </is>
      </c>
      <c r="F8" s="9" t="inlineStr">
        <is>
          <t>Внешний канал Б</t>
        </is>
      </c>
      <c r="G8" s="9" t="inlineStr">
        <is>
          <t>Размещение Б-1</t>
        </is>
      </c>
      <c r="H8" s="9" t="n">
        <v>3.375</v>
      </c>
      <c r="I8" s="9" t="inlineStr">
        <is>
          <t>да</t>
        </is>
      </c>
    </row>
    <row r="9">
      <c r="A9" s="9" t="inlineStr">
        <is>
          <t>ЗАК005</t>
        </is>
      </c>
      <c r="B9" s="9" t="inlineStr">
        <is>
          <t>ПОЛ005</t>
        </is>
      </c>
      <c r="C9" s="9" t="inlineStr">
        <is>
          <t>КАС008</t>
        </is>
      </c>
      <c r="D9" s="20" t="n">
        <v>46284.5</v>
      </c>
      <c r="E9" s="9" t="inlineStr">
        <is>
          <t>собственный</t>
        </is>
      </c>
      <c r="F9" s="9" t="inlineStr">
        <is>
          <t>Основной канал</t>
        </is>
      </c>
      <c r="G9" s="9" t="inlineStr">
        <is>
          <t>Продающий пост запуска</t>
        </is>
      </c>
      <c r="H9" s="9" t="n">
        <v>1.25</v>
      </c>
      <c r="I9" s="9" t="inlineStr">
        <is>
          <t>да</t>
        </is>
      </c>
    </row>
    <row r="10">
      <c r="A10" s="9" t="inlineStr">
        <is>
          <t>ЗАК006</t>
        </is>
      </c>
      <c r="B10" s="9" t="inlineStr">
        <is>
          <t>ПОЛ006</t>
        </is>
      </c>
      <c r="C10" s="9" t="inlineStr">
        <is>
          <t>КАС009</t>
        </is>
      </c>
      <c r="D10" s="20" t="n">
        <v>46276.5</v>
      </c>
      <c r="E10" s="9" t="inlineStr">
        <is>
          <t>платный внешний</t>
        </is>
      </c>
      <c r="F10" s="9" t="inlineStr">
        <is>
          <t>Внешний канал А</t>
        </is>
      </c>
      <c r="G10" s="9" t="inlineStr">
        <is>
          <t>Размещение А-1</t>
        </is>
      </c>
      <c r="H10" s="9" t="n">
        <v>10.25</v>
      </c>
      <c r="I10" s="9" t="inlineStr">
        <is>
          <t>да</t>
        </is>
      </c>
    </row>
    <row r="11">
      <c r="A11" s="9" t="inlineStr">
        <is>
          <t>ЗАК006</t>
        </is>
      </c>
      <c r="B11" s="9" t="inlineStr">
        <is>
          <t>ПОЛ006</t>
        </is>
      </c>
      <c r="C11" s="9" t="inlineStr">
        <is>
          <t>КАС010</t>
        </is>
      </c>
      <c r="D11" s="20" t="n">
        <v>46284.41666666666</v>
      </c>
      <c r="E11" s="9" t="inlineStr">
        <is>
          <t>собственный</t>
        </is>
      </c>
      <c r="F11" s="9" t="inlineStr">
        <is>
          <t>Основной канал</t>
        </is>
      </c>
      <c r="G11" s="9" t="inlineStr">
        <is>
          <t>Пост со скидкой</t>
        </is>
      </c>
      <c r="H11" s="9" t="n">
        <v>2.333333333333333</v>
      </c>
      <c r="I11" s="9" t="inlineStr">
        <is>
          <t>да</t>
        </is>
      </c>
    </row>
    <row r="12">
      <c r="A12" s="9" t="inlineStr">
        <is>
          <t>ЗАК007</t>
        </is>
      </c>
      <c r="B12" s="9" t="inlineStr">
        <is>
          <t>ПОЛ007</t>
        </is>
      </c>
      <c r="C12" s="9" t="inlineStr">
        <is>
          <t>КАС011</t>
        </is>
      </c>
      <c r="D12" s="20" t="n">
        <v>46280.41666666666</v>
      </c>
      <c r="E12" s="9" t="inlineStr">
        <is>
          <t>платный внешний</t>
        </is>
      </c>
      <c r="F12" s="9" t="inlineStr">
        <is>
          <t>Внешний канал А</t>
        </is>
      </c>
      <c r="G12" s="9" t="inlineStr">
        <is>
          <t>Размещение А-1</t>
        </is>
      </c>
      <c r="H12" s="9" t="n">
        <v>6.416666666666667</v>
      </c>
      <c r="I12" s="9" t="inlineStr">
        <is>
          <t>да</t>
        </is>
      </c>
    </row>
    <row r="13">
      <c r="A13" s="9" t="inlineStr">
        <is>
          <t>ЗАК007</t>
        </is>
      </c>
      <c r="B13" s="9" t="inlineStr">
        <is>
          <t>ПОЛ007</t>
        </is>
      </c>
      <c r="C13" s="9" t="inlineStr">
        <is>
          <t>КАС012</t>
        </is>
      </c>
      <c r="D13" s="20" t="n">
        <v>46282.5</v>
      </c>
      <c r="E13" s="9" t="inlineStr">
        <is>
          <t>платный внешний</t>
        </is>
      </c>
      <c r="F13" s="9" t="inlineStr">
        <is>
          <t>Внешний канал Б</t>
        </is>
      </c>
      <c r="G13" s="9" t="inlineStr">
        <is>
          <t>Размещение Б-1</t>
        </is>
      </c>
      <c r="H13" s="9" t="n">
        <v>4.333333333333333</v>
      </c>
      <c r="I13" s="9" t="inlineStr">
        <is>
          <t>да</t>
        </is>
      </c>
    </row>
    <row r="14">
      <c r="A14" s="9" t="inlineStr">
        <is>
          <t>ЗАК007</t>
        </is>
      </c>
      <c r="B14" s="9" t="inlineStr">
        <is>
          <t>ПОЛ007</t>
        </is>
      </c>
      <c r="C14" s="9" t="inlineStr">
        <is>
          <t>КАС013</t>
        </is>
      </c>
      <c r="D14" s="20" t="n">
        <v>46285.79166666666</v>
      </c>
      <c r="E14" s="9" t="inlineStr">
        <is>
          <t>собственный</t>
        </is>
      </c>
      <c r="F14" s="9" t="inlineStr">
        <is>
          <t>Основной канал</t>
        </is>
      </c>
      <c r="G14" s="9" t="inlineStr">
        <is>
          <t>Пост со скидкой</t>
        </is>
      </c>
      <c r="H14" s="9" t="n">
        <v>1.041666666666667</v>
      </c>
      <c r="I14" s="9" t="inlineStr">
        <is>
          <t>да</t>
        </is>
      </c>
    </row>
    <row r="15">
      <c r="A15" s="9" t="inlineStr">
        <is>
          <t>ЗАК008</t>
        </is>
      </c>
      <c r="B15" s="9" t="inlineStr">
        <is>
          <t>ПОЛ008</t>
        </is>
      </c>
      <c r="C15" s="9" t="inlineStr">
        <is>
          <t>КАС014</t>
        </is>
      </c>
      <c r="D15" s="20" t="n">
        <v>46286.66666666666</v>
      </c>
      <c r="E15" s="9" t="inlineStr">
        <is>
          <t>платный внешний</t>
        </is>
      </c>
      <c r="F15" s="9" t="inlineStr">
        <is>
          <t>Внешний канал Б</t>
        </is>
      </c>
      <c r="G15" s="9" t="inlineStr">
        <is>
          <t>Размещение Б-1</t>
        </is>
      </c>
      <c r="H15" s="9" t="n">
        <v>0.8333333333333334</v>
      </c>
      <c r="I15" s="9" t="inlineStr">
        <is>
          <t>да</t>
        </is>
      </c>
    </row>
    <row r="16">
      <c r="A16" s="9" t="inlineStr">
        <is>
          <t>ЗАК010</t>
        </is>
      </c>
      <c r="B16" s="9" t="inlineStr">
        <is>
          <t>ПОЛ010</t>
        </is>
      </c>
      <c r="C16" s="9" t="inlineStr">
        <is>
          <t>КАС015</t>
        </is>
      </c>
      <c r="D16" s="20" t="n">
        <v>46284.58333333334</v>
      </c>
      <c r="E16" s="9" t="inlineStr">
        <is>
          <t>органический</t>
        </is>
      </c>
      <c r="F16" s="9" t="inlineStr">
        <is>
          <t>Прямой вход</t>
        </is>
      </c>
      <c r="G16" s="9" t="inlineStr">
        <is>
          <t>Прямой запуск</t>
        </is>
      </c>
      <c r="H16" s="9" t="n">
        <v>5</v>
      </c>
      <c r="I16" s="9" t="inlineStr">
        <is>
          <t>да</t>
        </is>
      </c>
    </row>
    <row r="17">
      <c r="A17" s="9" t="inlineStr">
        <is>
          <t>ЗАК010</t>
        </is>
      </c>
      <c r="B17" s="9" t="inlineStr">
        <is>
          <t>ПОЛ010</t>
        </is>
      </c>
      <c r="C17" s="9" t="inlineStr">
        <is>
          <t>КАС016</t>
        </is>
      </c>
      <c r="D17" s="20" t="n">
        <v>46288.45833333334</v>
      </c>
      <c r="E17" s="9" t="inlineStr">
        <is>
          <t>платный внешний</t>
        </is>
      </c>
      <c r="F17" s="9" t="inlineStr">
        <is>
          <t>Внешний канал Б</t>
        </is>
      </c>
      <c r="G17" s="9" t="inlineStr">
        <is>
          <t>Размещение Б-1</t>
        </is>
      </c>
      <c r="H17" s="9" t="n">
        <v>1.125</v>
      </c>
      <c r="I17" s="9" t="inlineStr">
        <is>
          <t>да</t>
        </is>
      </c>
    </row>
    <row r="18">
      <c r="A18" s="9" t="inlineStr">
        <is>
          <t>ЗАК011</t>
        </is>
      </c>
      <c r="B18" s="9" t="inlineStr">
        <is>
          <t>ПОЛ011</t>
        </is>
      </c>
      <c r="C18" s="9" t="inlineStr">
        <is>
          <t>КАС017</t>
        </is>
      </c>
      <c r="D18" s="20" t="n">
        <v>46279.75</v>
      </c>
      <c r="E18" s="9" t="inlineStr">
        <is>
          <t>платный внешний</t>
        </is>
      </c>
      <c r="F18" s="9" t="inlineStr">
        <is>
          <t>Внешний канал А</t>
        </is>
      </c>
      <c r="G18" s="9" t="inlineStr">
        <is>
          <t>Размещение А-1</t>
        </is>
      </c>
      <c r="H18" s="9" t="n">
        <v>2</v>
      </c>
      <c r="I18" s="9" t="inlineStr">
        <is>
          <t>да</t>
        </is>
      </c>
    </row>
    <row r="19">
      <c r="A19" s="9" t="inlineStr">
        <is>
          <t>ЗАК012</t>
        </is>
      </c>
      <c r="B19" s="9" t="inlineStr">
        <is>
          <t>ПОЛ011</t>
        </is>
      </c>
      <c r="C19" s="9" t="inlineStr">
        <is>
          <t>КАС018</t>
        </is>
      </c>
      <c r="D19" s="20" t="n">
        <v>46292.5</v>
      </c>
      <c r="E19" s="9" t="inlineStr">
        <is>
          <t>собственный</t>
        </is>
      </c>
      <c r="F19" s="9" t="inlineStr">
        <is>
          <t>Основной канал</t>
        </is>
      </c>
      <c r="G19" s="9" t="inlineStr">
        <is>
          <t>Нативный пост</t>
        </is>
      </c>
      <c r="H19" s="9" t="n">
        <v>1.25</v>
      </c>
      <c r="I19" s="9" t="inlineStr">
        <is>
          <t>да</t>
        </is>
      </c>
    </row>
  </sheetData>
  <autoFilter ref="A1:I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1"/>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21" customWidth="1" min="3" max="3"/>
    <col width="14" customWidth="1" min="4" max="4"/>
    <col width="15" customWidth="1" min="5" max="5"/>
    <col width="22" customWidth="1" min="6" max="6"/>
    <col width="31" customWidth="1" min="7" max="7"/>
    <col width="22" customWidth="1" min="8" max="8"/>
    <col width="28" customWidth="1" min="9" max="9"/>
    <col width="16" customWidth="1" min="10" max="10"/>
    <col width="21" customWidth="1" min="11" max="11"/>
    <col width="22" customWidth="1" min="12" max="12"/>
    <col width="21" customWidth="1" min="13" max="13"/>
    <col width="26" customWidth="1" min="14" max="14"/>
  </cols>
  <sheetData>
    <row r="1">
      <c r="A1" s="12" t="inlineStr">
        <is>
          <t>заказ</t>
        </is>
      </c>
      <c r="B1" s="12" t="inlineStr">
        <is>
          <t>пользователь</t>
        </is>
      </c>
      <c r="C1" s="12" t="inlineStr">
        <is>
          <t>время_оплаты</t>
        </is>
      </c>
      <c r="D1" s="12" t="inlineStr">
        <is>
          <t>сумма_оплаты</t>
        </is>
      </c>
      <c r="E1" s="12" t="inlineStr">
        <is>
          <t>номер_покупки</t>
        </is>
      </c>
      <c r="F1" s="12" t="inlineStr">
        <is>
          <t>модель</t>
        </is>
      </c>
      <c r="G1" s="12" t="inlineStr">
        <is>
          <t>тип_источника</t>
        </is>
      </c>
      <c r="H1" s="12" t="inlineStr">
        <is>
          <t>канал</t>
        </is>
      </c>
      <c r="I1" s="12" t="inlineStr">
        <is>
          <t>размещение</t>
        </is>
      </c>
      <c r="J1" s="12" t="inlineStr">
        <is>
          <t>группа_касания</t>
        </is>
      </c>
      <c r="K1" s="12" t="inlineStr">
        <is>
          <t>время_события</t>
        </is>
      </c>
      <c r="L1" s="12" t="inlineStr">
        <is>
          <t>дней_до_оплаты</t>
        </is>
      </c>
      <c r="M1" s="12" t="inlineStr">
        <is>
          <t>вес</t>
        </is>
      </c>
      <c r="N1" s="12" t="inlineStr">
        <is>
          <t>атрибутированная_выручка</t>
        </is>
      </c>
    </row>
    <row r="2">
      <c r="A2" s="9" t="inlineStr">
        <is>
          <t>ЗАК001</t>
        </is>
      </c>
      <c r="B2" s="9" t="inlineStr">
        <is>
          <t>ПОЛ001</t>
        </is>
      </c>
      <c r="C2" s="20" t="n">
        <v>46280.52222222222</v>
      </c>
      <c r="D2" s="16" t="n">
        <v>8950</v>
      </c>
      <c r="E2" s="9" t="n">
        <v>1</v>
      </c>
      <c r="F2" s="9" t="inlineStr">
        <is>
          <t>первое касание</t>
        </is>
      </c>
      <c r="G2" s="9" t="inlineStr">
        <is>
          <t>платный внешний</t>
        </is>
      </c>
      <c r="H2" s="9" t="inlineStr">
        <is>
          <t>Внешний канал А</t>
        </is>
      </c>
      <c r="I2" s="9" t="inlineStr">
        <is>
          <t>Размещение А-1</t>
        </is>
      </c>
      <c r="J2" s="9" t="inlineStr">
        <is>
          <t>КАС001</t>
        </is>
      </c>
      <c r="K2" s="20" t="n">
        <v>46280.50347222222</v>
      </c>
      <c r="L2" s="9" t="n">
        <v>0.01875</v>
      </c>
      <c r="M2" s="15" t="n">
        <v>1</v>
      </c>
      <c r="N2" s="16" t="n">
        <v>8950</v>
      </c>
    </row>
    <row r="3">
      <c r="A3" s="9" t="inlineStr">
        <is>
          <t>ЗАК001</t>
        </is>
      </c>
      <c r="B3" s="9" t="inlineStr">
        <is>
          <t>ПОЛ001</t>
        </is>
      </c>
      <c r="C3" s="20" t="n">
        <v>46280.52222222222</v>
      </c>
      <c r="D3" s="16" t="n">
        <v>8950</v>
      </c>
      <c r="E3" s="9" t="n">
        <v>1</v>
      </c>
      <c r="F3" s="9" t="inlineStr">
        <is>
          <t>последнее касание</t>
        </is>
      </c>
      <c r="G3" s="9" t="inlineStr">
        <is>
          <t>платный внешний</t>
        </is>
      </c>
      <c r="H3" s="9" t="inlineStr">
        <is>
          <t>Внешний канал А</t>
        </is>
      </c>
      <c r="I3" s="9" t="inlineStr">
        <is>
          <t>Размещение А-1</t>
        </is>
      </c>
      <c r="J3" s="9" t="inlineStr">
        <is>
          <t>КАС001</t>
        </is>
      </c>
      <c r="K3" s="20" t="n">
        <v>46280.50347222222</v>
      </c>
      <c r="L3" s="9" t="n">
        <v>0.01875</v>
      </c>
      <c r="M3" s="15" t="n">
        <v>1</v>
      </c>
      <c r="N3" s="16" t="n">
        <v>8950</v>
      </c>
    </row>
    <row r="4">
      <c r="A4" s="9" t="inlineStr">
        <is>
          <t>ЗАК001</t>
        </is>
      </c>
      <c r="B4" s="9" t="inlineStr">
        <is>
          <t>ПОЛ001</t>
        </is>
      </c>
      <c r="C4" s="20" t="n">
        <v>46280.52222222222</v>
      </c>
      <c r="D4" s="16" t="n">
        <v>8950</v>
      </c>
      <c r="E4" s="9" t="n">
        <v>1</v>
      </c>
      <c r="F4" s="9" t="inlineStr">
        <is>
          <t>линейная модель</t>
        </is>
      </c>
      <c r="G4" s="9" t="inlineStr">
        <is>
          <t>платный внешний</t>
        </is>
      </c>
      <c r="H4" s="9" t="inlineStr">
        <is>
          <t>Внешний канал А</t>
        </is>
      </c>
      <c r="I4" s="9" t="inlineStr">
        <is>
          <t>Размещение А-1</t>
        </is>
      </c>
      <c r="J4" s="9" t="inlineStr">
        <is>
          <t>КАС001</t>
        </is>
      </c>
      <c r="K4" s="20" t="n">
        <v>46280.50347222222</v>
      </c>
      <c r="L4" s="9" t="n">
        <v>0.01875</v>
      </c>
      <c r="M4" s="15" t="n">
        <v>1</v>
      </c>
      <c r="N4" s="16" t="n">
        <v>8950</v>
      </c>
    </row>
    <row r="5">
      <c r="A5" s="9" t="inlineStr">
        <is>
          <t>ЗАК001</t>
        </is>
      </c>
      <c r="B5" s="9" t="inlineStr">
        <is>
          <t>ПОЛ001</t>
        </is>
      </c>
      <c r="C5" s="20" t="n">
        <v>46280.52222222222</v>
      </c>
      <c r="D5" s="16" t="n">
        <v>8950</v>
      </c>
      <c r="E5" s="9" t="n">
        <v>1</v>
      </c>
      <c r="F5" s="9" t="inlineStr">
        <is>
          <t>затухание по времени</t>
        </is>
      </c>
      <c r="G5" s="9" t="inlineStr">
        <is>
          <t>платный внешний</t>
        </is>
      </c>
      <c r="H5" s="9" t="inlineStr">
        <is>
          <t>Внешний канал А</t>
        </is>
      </c>
      <c r="I5" s="9" t="inlineStr">
        <is>
          <t>Размещение А-1</t>
        </is>
      </c>
      <c r="J5" s="9" t="inlineStr">
        <is>
          <t>КАС001</t>
        </is>
      </c>
      <c r="K5" s="20" t="n">
        <v>46280.50347222222</v>
      </c>
      <c r="L5" s="9" t="n">
        <v>0.01875</v>
      </c>
      <c r="M5" s="15" t="n">
        <v>1</v>
      </c>
      <c r="N5" s="16" t="n">
        <v>8950</v>
      </c>
    </row>
    <row r="6">
      <c r="A6" s="9" t="inlineStr">
        <is>
          <t>ЗАК001</t>
        </is>
      </c>
      <c r="B6" s="9" t="inlineStr">
        <is>
          <t>ПОЛ001</t>
        </is>
      </c>
      <c r="C6" s="20" t="n">
        <v>46280.52222222222</v>
      </c>
      <c r="D6" s="16" t="n">
        <v>8950</v>
      </c>
      <c r="E6" s="9" t="n">
        <v>1</v>
      </c>
      <c r="F6" s="9" t="inlineStr">
        <is>
          <t>позиционная модель</t>
        </is>
      </c>
      <c r="G6" s="9" t="inlineStr">
        <is>
          <t>платный внешний</t>
        </is>
      </c>
      <c r="H6" s="9" t="inlineStr">
        <is>
          <t>Внешний канал А</t>
        </is>
      </c>
      <c r="I6" s="9" t="inlineStr">
        <is>
          <t>Размещение А-1</t>
        </is>
      </c>
      <c r="J6" s="9" t="inlineStr">
        <is>
          <t>КАС001</t>
        </is>
      </c>
      <c r="K6" s="20" t="n">
        <v>46280.50347222222</v>
      </c>
      <c r="L6" s="9" t="n">
        <v>0.01875</v>
      </c>
      <c r="M6" s="15" t="n">
        <v>1</v>
      </c>
      <c r="N6" s="16" t="n">
        <v>8950</v>
      </c>
    </row>
    <row r="7">
      <c r="A7" s="9" t="inlineStr">
        <is>
          <t>ЗАК002</t>
        </is>
      </c>
      <c r="B7" s="9" t="inlineStr">
        <is>
          <t>ПОЛ002</t>
        </is>
      </c>
      <c r="C7" s="20" t="n">
        <v>46282.82083333333</v>
      </c>
      <c r="D7" s="16" t="n">
        <v>14950</v>
      </c>
      <c r="E7" s="9" t="n">
        <v>1</v>
      </c>
      <c r="F7" s="9" t="inlineStr">
        <is>
          <t>первое касание</t>
        </is>
      </c>
      <c r="G7" s="9" t="inlineStr">
        <is>
          <t>собственный</t>
        </is>
      </c>
      <c r="H7" s="9" t="inlineStr">
        <is>
          <t>Основной канал</t>
        </is>
      </c>
      <c r="I7" s="9" t="inlineStr">
        <is>
          <t>Собственный продающий пост</t>
        </is>
      </c>
      <c r="J7" s="9" t="inlineStr">
        <is>
          <t>КАС002</t>
        </is>
      </c>
      <c r="K7" s="20" t="n">
        <v>46282.79861111111</v>
      </c>
      <c r="L7" s="9" t="n">
        <v>0.02222222222222222</v>
      </c>
      <c r="M7" s="15" t="n">
        <v>1</v>
      </c>
      <c r="N7" s="16" t="n">
        <v>14950</v>
      </c>
    </row>
    <row r="8">
      <c r="A8" s="9" t="inlineStr">
        <is>
          <t>ЗАК002</t>
        </is>
      </c>
      <c r="B8" s="9" t="inlineStr">
        <is>
          <t>ПОЛ002</t>
        </is>
      </c>
      <c r="C8" s="20" t="n">
        <v>46282.82083333333</v>
      </c>
      <c r="D8" s="16" t="n">
        <v>14950</v>
      </c>
      <c r="E8" s="9" t="n">
        <v>1</v>
      </c>
      <c r="F8" s="9" t="inlineStr">
        <is>
          <t>последнее касание</t>
        </is>
      </c>
      <c r="G8" s="9" t="inlineStr">
        <is>
          <t>собственный</t>
        </is>
      </c>
      <c r="H8" s="9" t="inlineStr">
        <is>
          <t>Основной канал</t>
        </is>
      </c>
      <c r="I8" s="9" t="inlineStr">
        <is>
          <t>Собственный продающий пост</t>
        </is>
      </c>
      <c r="J8" s="9" t="inlineStr">
        <is>
          <t>КАС002</t>
        </is>
      </c>
      <c r="K8" s="20" t="n">
        <v>46282.79861111111</v>
      </c>
      <c r="L8" s="9" t="n">
        <v>0.02222222222222222</v>
      </c>
      <c r="M8" s="15" t="n">
        <v>1</v>
      </c>
      <c r="N8" s="16" t="n">
        <v>14950</v>
      </c>
    </row>
    <row r="9">
      <c r="A9" s="9" t="inlineStr">
        <is>
          <t>ЗАК002</t>
        </is>
      </c>
      <c r="B9" s="9" t="inlineStr">
        <is>
          <t>ПОЛ002</t>
        </is>
      </c>
      <c r="C9" s="20" t="n">
        <v>46282.82083333333</v>
      </c>
      <c r="D9" s="16" t="n">
        <v>14950</v>
      </c>
      <c r="E9" s="9" t="n">
        <v>1</v>
      </c>
      <c r="F9" s="9" t="inlineStr">
        <is>
          <t>линейная модель</t>
        </is>
      </c>
      <c r="G9" s="9" t="inlineStr">
        <is>
          <t>собственный</t>
        </is>
      </c>
      <c r="H9" s="9" t="inlineStr">
        <is>
          <t>Основной канал</t>
        </is>
      </c>
      <c r="I9" s="9" t="inlineStr">
        <is>
          <t>Собственный продающий пост</t>
        </is>
      </c>
      <c r="J9" s="9" t="inlineStr">
        <is>
          <t>КАС002</t>
        </is>
      </c>
      <c r="K9" s="20" t="n">
        <v>46282.79861111111</v>
      </c>
      <c r="L9" s="9" t="n">
        <v>0.02222222222222222</v>
      </c>
      <c r="M9" s="15" t="n">
        <v>1</v>
      </c>
      <c r="N9" s="16" t="n">
        <v>14950</v>
      </c>
    </row>
    <row r="10">
      <c r="A10" s="9" t="inlineStr">
        <is>
          <t>ЗАК002</t>
        </is>
      </c>
      <c r="B10" s="9" t="inlineStr">
        <is>
          <t>ПОЛ002</t>
        </is>
      </c>
      <c r="C10" s="20" t="n">
        <v>46282.82083333333</v>
      </c>
      <c r="D10" s="16" t="n">
        <v>14950</v>
      </c>
      <c r="E10" s="9" t="n">
        <v>1</v>
      </c>
      <c r="F10" s="9" t="inlineStr">
        <is>
          <t>затухание по времени</t>
        </is>
      </c>
      <c r="G10" s="9" t="inlineStr">
        <is>
          <t>собственный</t>
        </is>
      </c>
      <c r="H10" s="9" t="inlineStr">
        <is>
          <t>Основной канал</t>
        </is>
      </c>
      <c r="I10" s="9" t="inlineStr">
        <is>
          <t>Собственный продающий пост</t>
        </is>
      </c>
      <c r="J10" s="9" t="inlineStr">
        <is>
          <t>КАС002</t>
        </is>
      </c>
      <c r="K10" s="20" t="n">
        <v>46282.79861111111</v>
      </c>
      <c r="L10" s="9" t="n">
        <v>0.02222222222222222</v>
      </c>
      <c r="M10" s="15" t="n">
        <v>1</v>
      </c>
      <c r="N10" s="16" t="n">
        <v>14950</v>
      </c>
    </row>
    <row r="11">
      <c r="A11" s="9" t="inlineStr">
        <is>
          <t>ЗАК002</t>
        </is>
      </c>
      <c r="B11" s="9" t="inlineStr">
        <is>
          <t>ПОЛ002</t>
        </is>
      </c>
      <c r="C11" s="20" t="n">
        <v>46282.82083333333</v>
      </c>
      <c r="D11" s="16" t="n">
        <v>14950</v>
      </c>
      <c r="E11" s="9" t="n">
        <v>1</v>
      </c>
      <c r="F11" s="9" t="inlineStr">
        <is>
          <t>позиционная модель</t>
        </is>
      </c>
      <c r="G11" s="9" t="inlineStr">
        <is>
          <t>собственный</t>
        </is>
      </c>
      <c r="H11" s="9" t="inlineStr">
        <is>
          <t>Основной канал</t>
        </is>
      </c>
      <c r="I11" s="9" t="inlineStr">
        <is>
          <t>Собственный продающий пост</t>
        </is>
      </c>
      <c r="J11" s="9" t="inlineStr">
        <is>
          <t>КАС002</t>
        </is>
      </c>
      <c r="K11" s="20" t="n">
        <v>46282.79861111111</v>
      </c>
      <c r="L11" s="9" t="n">
        <v>0.02222222222222222</v>
      </c>
      <c r="M11" s="15" t="n">
        <v>1</v>
      </c>
      <c r="N11" s="16" t="n">
        <v>14950</v>
      </c>
    </row>
    <row r="12">
      <c r="A12" s="9" t="inlineStr">
        <is>
          <t>ЗАК003</t>
        </is>
      </c>
      <c r="B12" s="9" t="inlineStr">
        <is>
          <t>ПОЛ003</t>
        </is>
      </c>
      <c r="C12" s="20" t="n">
        <v>46283.47361111111</v>
      </c>
      <c r="D12" s="16" t="n">
        <v>6490</v>
      </c>
      <c r="E12" s="9" t="n">
        <v>1</v>
      </c>
      <c r="F12" s="9" t="inlineStr">
        <is>
          <t>первое касание</t>
        </is>
      </c>
      <c r="G12" s="9" t="inlineStr">
        <is>
          <t>органический</t>
        </is>
      </c>
      <c r="H12" s="9" t="inlineStr">
        <is>
          <t>Прямой вход</t>
        </is>
      </c>
      <c r="I12" s="9" t="inlineStr">
        <is>
          <t>Прямой запуск</t>
        </is>
      </c>
      <c r="J12" s="9" t="inlineStr">
        <is>
          <t>КАС003</t>
        </is>
      </c>
      <c r="K12" s="20" t="n">
        <v>46283.45833333334</v>
      </c>
      <c r="L12" s="9" t="n">
        <v>0.01527777777777778</v>
      </c>
      <c r="M12" s="15" t="n">
        <v>1</v>
      </c>
      <c r="N12" s="16" t="n">
        <v>6490</v>
      </c>
    </row>
    <row r="13">
      <c r="A13" s="9" t="inlineStr">
        <is>
          <t>ЗАК003</t>
        </is>
      </c>
      <c r="B13" s="9" t="inlineStr">
        <is>
          <t>ПОЛ003</t>
        </is>
      </c>
      <c r="C13" s="20" t="n">
        <v>46283.47361111111</v>
      </c>
      <c r="D13" s="16" t="n">
        <v>6490</v>
      </c>
      <c r="E13" s="9" t="n">
        <v>1</v>
      </c>
      <c r="F13" s="9" t="inlineStr">
        <is>
          <t>последнее касание</t>
        </is>
      </c>
      <c r="G13" s="9" t="inlineStr">
        <is>
          <t>органический</t>
        </is>
      </c>
      <c r="H13" s="9" t="inlineStr">
        <is>
          <t>Прямой вход</t>
        </is>
      </c>
      <c r="I13" s="9" t="inlineStr">
        <is>
          <t>Прямой запуск</t>
        </is>
      </c>
      <c r="J13" s="9" t="inlineStr">
        <is>
          <t>КАС003</t>
        </is>
      </c>
      <c r="K13" s="20" t="n">
        <v>46283.45833333334</v>
      </c>
      <c r="L13" s="9" t="n">
        <v>0.01527777777777778</v>
      </c>
      <c r="M13" s="15" t="n">
        <v>1</v>
      </c>
      <c r="N13" s="16" t="n">
        <v>6490</v>
      </c>
    </row>
    <row r="14">
      <c r="A14" s="9" t="inlineStr">
        <is>
          <t>ЗАК003</t>
        </is>
      </c>
      <c r="B14" s="9" t="inlineStr">
        <is>
          <t>ПОЛ003</t>
        </is>
      </c>
      <c r="C14" s="20" t="n">
        <v>46283.47361111111</v>
      </c>
      <c r="D14" s="16" t="n">
        <v>6490</v>
      </c>
      <c r="E14" s="9" t="n">
        <v>1</v>
      </c>
      <c r="F14" s="9" t="inlineStr">
        <is>
          <t>линейная модель</t>
        </is>
      </c>
      <c r="G14" s="9" t="inlineStr">
        <is>
          <t>органический</t>
        </is>
      </c>
      <c r="H14" s="9" t="inlineStr">
        <is>
          <t>Прямой вход</t>
        </is>
      </c>
      <c r="I14" s="9" t="inlineStr">
        <is>
          <t>Прямой запуск</t>
        </is>
      </c>
      <c r="J14" s="9" t="inlineStr">
        <is>
          <t>КАС003</t>
        </is>
      </c>
      <c r="K14" s="20" t="n">
        <v>46283.45833333334</v>
      </c>
      <c r="L14" s="9" t="n">
        <v>0.01527777777777778</v>
      </c>
      <c r="M14" s="15" t="n">
        <v>1</v>
      </c>
      <c r="N14" s="16" t="n">
        <v>6490</v>
      </c>
    </row>
    <row r="15">
      <c r="A15" s="9" t="inlineStr">
        <is>
          <t>ЗАК003</t>
        </is>
      </c>
      <c r="B15" s="9" t="inlineStr">
        <is>
          <t>ПОЛ003</t>
        </is>
      </c>
      <c r="C15" s="20" t="n">
        <v>46283.47361111111</v>
      </c>
      <c r="D15" s="16" t="n">
        <v>6490</v>
      </c>
      <c r="E15" s="9" t="n">
        <v>1</v>
      </c>
      <c r="F15" s="9" t="inlineStr">
        <is>
          <t>затухание по времени</t>
        </is>
      </c>
      <c r="G15" s="9" t="inlineStr">
        <is>
          <t>органический</t>
        </is>
      </c>
      <c r="H15" s="9" t="inlineStr">
        <is>
          <t>Прямой вход</t>
        </is>
      </c>
      <c r="I15" s="9" t="inlineStr">
        <is>
          <t>Прямой запуск</t>
        </is>
      </c>
      <c r="J15" s="9" t="inlineStr">
        <is>
          <t>КАС003</t>
        </is>
      </c>
      <c r="K15" s="20" t="n">
        <v>46283.45833333334</v>
      </c>
      <c r="L15" s="9" t="n">
        <v>0.01527777777777778</v>
      </c>
      <c r="M15" s="15" t="n">
        <v>1</v>
      </c>
      <c r="N15" s="16" t="n">
        <v>6490</v>
      </c>
    </row>
    <row r="16">
      <c r="A16" s="9" t="inlineStr">
        <is>
          <t>ЗАК003</t>
        </is>
      </c>
      <c r="B16" s="9" t="inlineStr">
        <is>
          <t>ПОЛ003</t>
        </is>
      </c>
      <c r="C16" s="20" t="n">
        <v>46283.47361111111</v>
      </c>
      <c r="D16" s="16" t="n">
        <v>6490</v>
      </c>
      <c r="E16" s="9" t="n">
        <v>1</v>
      </c>
      <c r="F16" s="9" t="inlineStr">
        <is>
          <t>позиционная модель</t>
        </is>
      </c>
      <c r="G16" s="9" t="inlineStr">
        <is>
          <t>органический</t>
        </is>
      </c>
      <c r="H16" s="9" t="inlineStr">
        <is>
          <t>Прямой вход</t>
        </is>
      </c>
      <c r="I16" s="9" t="inlineStr">
        <is>
          <t>Прямой запуск</t>
        </is>
      </c>
      <c r="J16" s="9" t="inlineStr">
        <is>
          <t>КАС003</t>
        </is>
      </c>
      <c r="K16" s="20" t="n">
        <v>46283.45833333334</v>
      </c>
      <c r="L16" s="9" t="n">
        <v>0.01527777777777778</v>
      </c>
      <c r="M16" s="15" t="n">
        <v>1</v>
      </c>
      <c r="N16" s="16" t="n">
        <v>6490</v>
      </c>
    </row>
    <row r="17">
      <c r="A17" s="9" t="inlineStr">
        <is>
          <t>ЗАК004</t>
        </is>
      </c>
      <c r="B17" s="9" t="inlineStr">
        <is>
          <t>ПОЛ004</t>
        </is>
      </c>
      <c r="C17" s="20" t="n">
        <v>46284.83333333334</v>
      </c>
      <c r="D17" s="16" t="n">
        <v>8950</v>
      </c>
      <c r="E17" s="9" t="n">
        <v>1</v>
      </c>
      <c r="F17" s="9" t="inlineStr">
        <is>
          <t>первое касание</t>
        </is>
      </c>
      <c r="G17" s="9" t="inlineStr">
        <is>
          <t>платный внешний</t>
        </is>
      </c>
      <c r="H17" s="9" t="inlineStr">
        <is>
          <t>Внешний канал А</t>
        </is>
      </c>
      <c r="I17" s="9" t="inlineStr">
        <is>
          <t>Размещение А-1</t>
        </is>
      </c>
      <c r="J17" s="9" t="inlineStr">
        <is>
          <t>КАС004</t>
        </is>
      </c>
      <c r="K17" s="20" t="n">
        <v>46278.41666666666</v>
      </c>
      <c r="L17" s="9" t="n">
        <v>6.416666666666667</v>
      </c>
      <c r="M17" s="15" t="n">
        <v>1</v>
      </c>
      <c r="N17" s="16" t="n">
        <v>8950</v>
      </c>
    </row>
    <row r="18">
      <c r="A18" s="9" t="inlineStr">
        <is>
          <t>ЗАК004</t>
        </is>
      </c>
      <c r="B18" s="9" t="inlineStr">
        <is>
          <t>ПОЛ004</t>
        </is>
      </c>
      <c r="C18" s="20" t="n">
        <v>46284.83333333334</v>
      </c>
      <c r="D18" s="16" t="n">
        <v>8950</v>
      </c>
      <c r="E18" s="9" t="n">
        <v>1</v>
      </c>
      <c r="F18" s="9" t="inlineStr">
        <is>
          <t>первое касание</t>
        </is>
      </c>
      <c r="G18" s="9" t="inlineStr">
        <is>
          <t>собственный</t>
        </is>
      </c>
      <c r="H18" s="9" t="inlineStr">
        <is>
          <t>Основной канал</t>
        </is>
      </c>
      <c r="I18" s="9" t="inlineStr">
        <is>
          <t>Нативный пост</t>
        </is>
      </c>
      <c r="J18" s="9" t="inlineStr">
        <is>
          <t>КАС005</t>
        </is>
      </c>
      <c r="K18" s="20" t="n">
        <v>46282.75</v>
      </c>
      <c r="L18" s="9" t="n">
        <v>2.083333333333333</v>
      </c>
      <c r="M18" s="15" t="n">
        <v>0</v>
      </c>
      <c r="N18" s="16" t="n">
        <v>0</v>
      </c>
    </row>
    <row r="19">
      <c r="A19" s="9" t="inlineStr">
        <is>
          <t>ЗАК004</t>
        </is>
      </c>
      <c r="B19" s="9" t="inlineStr">
        <is>
          <t>ПОЛ004</t>
        </is>
      </c>
      <c r="C19" s="20" t="n">
        <v>46284.83333333334</v>
      </c>
      <c r="D19" s="16" t="n">
        <v>8950</v>
      </c>
      <c r="E19" s="9" t="n">
        <v>1</v>
      </c>
      <c r="F19" s="9" t="inlineStr">
        <is>
          <t>первое касание</t>
        </is>
      </c>
      <c r="G19" s="9" t="inlineStr">
        <is>
          <t>собственный</t>
        </is>
      </c>
      <c r="H19" s="9" t="inlineStr">
        <is>
          <t>Основной канал</t>
        </is>
      </c>
      <c r="I19" s="9" t="inlineStr">
        <is>
          <t>Пост со скидкой</t>
        </is>
      </c>
      <c r="J19" s="9" t="inlineStr">
        <is>
          <t>КАС006</t>
        </is>
      </c>
      <c r="K19" s="20" t="n">
        <v>46284.72916666666</v>
      </c>
      <c r="L19" s="9" t="n">
        <v>0.1041666666666667</v>
      </c>
      <c r="M19" s="15" t="n">
        <v>0</v>
      </c>
      <c r="N19" s="16" t="n">
        <v>0</v>
      </c>
    </row>
    <row r="20">
      <c r="A20" s="9" t="inlineStr">
        <is>
          <t>ЗАК004</t>
        </is>
      </c>
      <c r="B20" s="9" t="inlineStr">
        <is>
          <t>ПОЛ004</t>
        </is>
      </c>
      <c r="C20" s="20" t="n">
        <v>46284.83333333334</v>
      </c>
      <c r="D20" s="16" t="n">
        <v>8950</v>
      </c>
      <c r="E20" s="9" t="n">
        <v>1</v>
      </c>
      <c r="F20" s="9" t="inlineStr">
        <is>
          <t>последнее касание</t>
        </is>
      </c>
      <c r="G20" s="9" t="inlineStr">
        <is>
          <t>платный внешний</t>
        </is>
      </c>
      <c r="H20" s="9" t="inlineStr">
        <is>
          <t>Внешний канал А</t>
        </is>
      </c>
      <c r="I20" s="9" t="inlineStr">
        <is>
          <t>Размещение А-1</t>
        </is>
      </c>
      <c r="J20" s="9" t="inlineStr">
        <is>
          <t>КАС004</t>
        </is>
      </c>
      <c r="K20" s="20" t="n">
        <v>46278.41666666666</v>
      </c>
      <c r="L20" s="9" t="n">
        <v>6.416666666666667</v>
      </c>
      <c r="M20" s="15" t="n">
        <v>0</v>
      </c>
      <c r="N20" s="16" t="n">
        <v>0</v>
      </c>
    </row>
    <row r="21">
      <c r="A21" s="9" t="inlineStr">
        <is>
          <t>ЗАК004</t>
        </is>
      </c>
      <c r="B21" s="9" t="inlineStr">
        <is>
          <t>ПОЛ004</t>
        </is>
      </c>
      <c r="C21" s="20" t="n">
        <v>46284.83333333334</v>
      </c>
      <c r="D21" s="16" t="n">
        <v>8950</v>
      </c>
      <c r="E21" s="9" t="n">
        <v>1</v>
      </c>
      <c r="F21" s="9" t="inlineStr">
        <is>
          <t>последнее касание</t>
        </is>
      </c>
      <c r="G21" s="9" t="inlineStr">
        <is>
          <t>собственный</t>
        </is>
      </c>
      <c r="H21" s="9" t="inlineStr">
        <is>
          <t>Основной канал</t>
        </is>
      </c>
      <c r="I21" s="9" t="inlineStr">
        <is>
          <t>Нативный пост</t>
        </is>
      </c>
      <c r="J21" s="9" t="inlineStr">
        <is>
          <t>КАС005</t>
        </is>
      </c>
      <c r="K21" s="20" t="n">
        <v>46282.75</v>
      </c>
      <c r="L21" s="9" t="n">
        <v>2.083333333333333</v>
      </c>
      <c r="M21" s="15" t="n">
        <v>0</v>
      </c>
      <c r="N21" s="16" t="n">
        <v>0</v>
      </c>
    </row>
    <row r="22">
      <c r="A22" s="9" t="inlineStr">
        <is>
          <t>ЗАК004</t>
        </is>
      </c>
      <c r="B22" s="9" t="inlineStr">
        <is>
          <t>ПОЛ004</t>
        </is>
      </c>
      <c r="C22" s="20" t="n">
        <v>46284.83333333334</v>
      </c>
      <c r="D22" s="16" t="n">
        <v>8950</v>
      </c>
      <c r="E22" s="9" t="n">
        <v>1</v>
      </c>
      <c r="F22" s="9" t="inlineStr">
        <is>
          <t>последнее касание</t>
        </is>
      </c>
      <c r="G22" s="9" t="inlineStr">
        <is>
          <t>собственный</t>
        </is>
      </c>
      <c r="H22" s="9" t="inlineStr">
        <is>
          <t>Основной канал</t>
        </is>
      </c>
      <c r="I22" s="9" t="inlineStr">
        <is>
          <t>Пост со скидкой</t>
        </is>
      </c>
      <c r="J22" s="9" t="inlineStr">
        <is>
          <t>КАС006</t>
        </is>
      </c>
      <c r="K22" s="20" t="n">
        <v>46284.72916666666</v>
      </c>
      <c r="L22" s="9" t="n">
        <v>0.1041666666666667</v>
      </c>
      <c r="M22" s="15" t="n">
        <v>1</v>
      </c>
      <c r="N22" s="16" t="n">
        <v>8950</v>
      </c>
    </row>
    <row r="23">
      <c r="A23" s="9" t="inlineStr">
        <is>
          <t>ЗАК004</t>
        </is>
      </c>
      <c r="B23" s="9" t="inlineStr">
        <is>
          <t>ПОЛ004</t>
        </is>
      </c>
      <c r="C23" s="20" t="n">
        <v>46284.83333333334</v>
      </c>
      <c r="D23" s="16" t="n">
        <v>8950</v>
      </c>
      <c r="E23" s="9" t="n">
        <v>1</v>
      </c>
      <c r="F23" s="9" t="inlineStr">
        <is>
          <t>линейная модель</t>
        </is>
      </c>
      <c r="G23" s="9" t="inlineStr">
        <is>
          <t>платный внешний</t>
        </is>
      </c>
      <c r="H23" s="9" t="inlineStr">
        <is>
          <t>Внешний канал А</t>
        </is>
      </c>
      <c r="I23" s="9" t="inlineStr">
        <is>
          <t>Размещение А-1</t>
        </is>
      </c>
      <c r="J23" s="9" t="inlineStr">
        <is>
          <t>КАС004</t>
        </is>
      </c>
      <c r="K23" s="20" t="n">
        <v>46278.41666666666</v>
      </c>
      <c r="L23" s="9" t="n">
        <v>6.416666666666667</v>
      </c>
      <c r="M23" s="15" t="n">
        <v>0.3333333333333333</v>
      </c>
      <c r="N23" s="16" t="n">
        <v>2983.333333333333</v>
      </c>
    </row>
    <row r="24">
      <c r="A24" s="9" t="inlineStr">
        <is>
          <t>ЗАК004</t>
        </is>
      </c>
      <c r="B24" s="9" t="inlineStr">
        <is>
          <t>ПОЛ004</t>
        </is>
      </c>
      <c r="C24" s="20" t="n">
        <v>46284.83333333334</v>
      </c>
      <c r="D24" s="16" t="n">
        <v>8950</v>
      </c>
      <c r="E24" s="9" t="n">
        <v>1</v>
      </c>
      <c r="F24" s="9" t="inlineStr">
        <is>
          <t>линейная модель</t>
        </is>
      </c>
      <c r="G24" s="9" t="inlineStr">
        <is>
          <t>собственный</t>
        </is>
      </c>
      <c r="H24" s="9" t="inlineStr">
        <is>
          <t>Основной канал</t>
        </is>
      </c>
      <c r="I24" s="9" t="inlineStr">
        <is>
          <t>Нативный пост</t>
        </is>
      </c>
      <c r="J24" s="9" t="inlineStr">
        <is>
          <t>КАС005</t>
        </is>
      </c>
      <c r="K24" s="20" t="n">
        <v>46282.75</v>
      </c>
      <c r="L24" s="9" t="n">
        <v>2.083333333333333</v>
      </c>
      <c r="M24" s="15" t="n">
        <v>0.3333333333333333</v>
      </c>
      <c r="N24" s="16" t="n">
        <v>2983.333333333333</v>
      </c>
    </row>
    <row r="25">
      <c r="A25" s="9" t="inlineStr">
        <is>
          <t>ЗАК004</t>
        </is>
      </c>
      <c r="B25" s="9" t="inlineStr">
        <is>
          <t>ПОЛ004</t>
        </is>
      </c>
      <c r="C25" s="20" t="n">
        <v>46284.83333333334</v>
      </c>
      <c r="D25" s="16" t="n">
        <v>8950</v>
      </c>
      <c r="E25" s="9" t="n">
        <v>1</v>
      </c>
      <c r="F25" s="9" t="inlineStr">
        <is>
          <t>линейная модель</t>
        </is>
      </c>
      <c r="G25" s="9" t="inlineStr">
        <is>
          <t>собственный</t>
        </is>
      </c>
      <c r="H25" s="9" t="inlineStr">
        <is>
          <t>Основной канал</t>
        </is>
      </c>
      <c r="I25" s="9" t="inlineStr">
        <is>
          <t>Пост со скидкой</t>
        </is>
      </c>
      <c r="J25" s="9" t="inlineStr">
        <is>
          <t>КАС006</t>
        </is>
      </c>
      <c r="K25" s="20" t="n">
        <v>46284.72916666666</v>
      </c>
      <c r="L25" s="9" t="n">
        <v>0.1041666666666667</v>
      </c>
      <c r="M25" s="15" t="n">
        <v>0.3333333333333333</v>
      </c>
      <c r="N25" s="16" t="n">
        <v>2983.333333333333</v>
      </c>
    </row>
    <row r="26">
      <c r="A26" s="9" t="inlineStr">
        <is>
          <t>ЗАК004</t>
        </is>
      </c>
      <c r="B26" s="9" t="inlineStr">
        <is>
          <t>ПОЛ004</t>
        </is>
      </c>
      <c r="C26" s="20" t="n">
        <v>46284.83333333334</v>
      </c>
      <c r="D26" s="16" t="n">
        <v>8950</v>
      </c>
      <c r="E26" s="9" t="n">
        <v>1</v>
      </c>
      <c r="F26" s="9" t="inlineStr">
        <is>
          <t>затухание по времени</t>
        </is>
      </c>
      <c r="G26" s="9" t="inlineStr">
        <is>
          <t>платный внешний</t>
        </is>
      </c>
      <c r="H26" s="9" t="inlineStr">
        <is>
          <t>Внешний канал А</t>
        </is>
      </c>
      <c r="I26" s="9" t="inlineStr">
        <is>
          <t>Размещение А-1</t>
        </is>
      </c>
      <c r="J26" s="9" t="inlineStr">
        <is>
          <t>КАС004</t>
        </is>
      </c>
      <c r="K26" s="20" t="n">
        <v>46278.41666666666</v>
      </c>
      <c r="L26" s="9" t="n">
        <v>6.416666666666667</v>
      </c>
      <c r="M26" s="15" t="n">
        <v>0.1246715938271967</v>
      </c>
      <c r="N26" s="16" t="n">
        <v>1115.81076475341</v>
      </c>
    </row>
    <row r="27">
      <c r="A27" s="9" t="inlineStr">
        <is>
          <t>ЗАК004</t>
        </is>
      </c>
      <c r="B27" s="9" t="inlineStr">
        <is>
          <t>ПОЛ004</t>
        </is>
      </c>
      <c r="C27" s="20" t="n">
        <v>46284.83333333334</v>
      </c>
      <c r="D27" s="16" t="n">
        <v>8950</v>
      </c>
      <c r="E27" s="9" t="n">
        <v>1</v>
      </c>
      <c r="F27" s="9" t="inlineStr">
        <is>
          <t>затухание по времени</t>
        </is>
      </c>
      <c r="G27" s="9" t="inlineStr">
        <is>
          <t>собственный</t>
        </is>
      </c>
      <c r="H27" s="9" t="inlineStr">
        <is>
          <t>Основной канал</t>
        </is>
      </c>
      <c r="I27" s="9" t="inlineStr">
        <is>
          <t>Нативный пост</t>
        </is>
      </c>
      <c r="J27" s="9" t="inlineStr">
        <is>
          <t>КАС005</t>
        </is>
      </c>
      <c r="K27" s="20" t="n">
        <v>46282.75</v>
      </c>
      <c r="L27" s="9" t="n">
        <v>2.083333333333333</v>
      </c>
      <c r="M27" s="15" t="n">
        <v>0.3393037163717017</v>
      </c>
      <c r="N27" s="16" t="n">
        <v>3036.76826152673</v>
      </c>
    </row>
    <row r="28">
      <c r="A28" s="9" t="inlineStr">
        <is>
          <t>ЗАК004</t>
        </is>
      </c>
      <c r="B28" s="9" t="inlineStr">
        <is>
          <t>ПОЛ004</t>
        </is>
      </c>
      <c r="C28" s="20" t="n">
        <v>46284.83333333334</v>
      </c>
      <c r="D28" s="16" t="n">
        <v>8950</v>
      </c>
      <c r="E28" s="9" t="n">
        <v>1</v>
      </c>
      <c r="F28" s="9" t="inlineStr">
        <is>
          <t>затухание по времени</t>
        </is>
      </c>
      <c r="G28" s="9" t="inlineStr">
        <is>
          <t>собственный</t>
        </is>
      </c>
      <c r="H28" s="9" t="inlineStr">
        <is>
          <t>Основной канал</t>
        </is>
      </c>
      <c r="I28" s="9" t="inlineStr">
        <is>
          <t>Пост со скидкой</t>
        </is>
      </c>
      <c r="J28" s="9" t="inlineStr">
        <is>
          <t>КАС006</t>
        </is>
      </c>
      <c r="K28" s="20" t="n">
        <v>46284.72916666666</v>
      </c>
      <c r="L28" s="9" t="n">
        <v>0.1041666666666667</v>
      </c>
      <c r="M28" s="15" t="n">
        <v>0.5360246898011016</v>
      </c>
      <c r="N28" s="16" t="n">
        <v>4797.42097371986</v>
      </c>
    </row>
    <row r="29">
      <c r="A29" s="9" t="inlineStr">
        <is>
          <t>ЗАК004</t>
        </is>
      </c>
      <c r="B29" s="9" t="inlineStr">
        <is>
          <t>ПОЛ004</t>
        </is>
      </c>
      <c r="C29" s="20" t="n">
        <v>46284.83333333334</v>
      </c>
      <c r="D29" s="16" t="n">
        <v>8950</v>
      </c>
      <c r="E29" s="9" t="n">
        <v>1</v>
      </c>
      <c r="F29" s="9" t="inlineStr">
        <is>
          <t>позиционная модель</t>
        </is>
      </c>
      <c r="G29" s="9" t="inlineStr">
        <is>
          <t>платный внешний</t>
        </is>
      </c>
      <c r="H29" s="9" t="inlineStr">
        <is>
          <t>Внешний канал А</t>
        </is>
      </c>
      <c r="I29" s="9" t="inlineStr">
        <is>
          <t>Размещение А-1</t>
        </is>
      </c>
      <c r="J29" s="9" t="inlineStr">
        <is>
          <t>КАС004</t>
        </is>
      </c>
      <c r="K29" s="20" t="n">
        <v>46278.41666666666</v>
      </c>
      <c r="L29" s="9" t="n">
        <v>6.416666666666667</v>
      </c>
      <c r="M29" s="15" t="n">
        <v>0.4</v>
      </c>
      <c r="N29" s="16" t="n">
        <v>3580</v>
      </c>
    </row>
    <row r="30">
      <c r="A30" s="9" t="inlineStr">
        <is>
          <t>ЗАК004</t>
        </is>
      </c>
      <c r="B30" s="9" t="inlineStr">
        <is>
          <t>ПОЛ004</t>
        </is>
      </c>
      <c r="C30" s="20" t="n">
        <v>46284.83333333334</v>
      </c>
      <c r="D30" s="16" t="n">
        <v>8950</v>
      </c>
      <c r="E30" s="9" t="n">
        <v>1</v>
      </c>
      <c r="F30" s="9" t="inlineStr">
        <is>
          <t>позиционная модель</t>
        </is>
      </c>
      <c r="G30" s="9" t="inlineStr">
        <is>
          <t>собственный</t>
        </is>
      </c>
      <c r="H30" s="9" t="inlineStr">
        <is>
          <t>Основной канал</t>
        </is>
      </c>
      <c r="I30" s="9" t="inlineStr">
        <is>
          <t>Нативный пост</t>
        </is>
      </c>
      <c r="J30" s="9" t="inlineStr">
        <is>
          <t>КАС005</t>
        </is>
      </c>
      <c r="K30" s="20" t="n">
        <v>46282.75</v>
      </c>
      <c r="L30" s="9" t="n">
        <v>2.083333333333333</v>
      </c>
      <c r="M30" s="15" t="n">
        <v>0.2</v>
      </c>
      <c r="N30" s="16" t="n">
        <v>1790</v>
      </c>
    </row>
    <row r="31">
      <c r="A31" s="9" t="inlineStr">
        <is>
          <t>ЗАК004</t>
        </is>
      </c>
      <c r="B31" s="9" t="inlineStr">
        <is>
          <t>ПОЛ004</t>
        </is>
      </c>
      <c r="C31" s="20" t="n">
        <v>46284.83333333334</v>
      </c>
      <c r="D31" s="16" t="n">
        <v>8950</v>
      </c>
      <c r="E31" s="9" t="n">
        <v>1</v>
      </c>
      <c r="F31" s="9" t="inlineStr">
        <is>
          <t>позиционная модель</t>
        </is>
      </c>
      <c r="G31" s="9" t="inlineStr">
        <is>
          <t>собственный</t>
        </is>
      </c>
      <c r="H31" s="9" t="inlineStr">
        <is>
          <t>Основной канал</t>
        </is>
      </c>
      <c r="I31" s="9" t="inlineStr">
        <is>
          <t>Пост со скидкой</t>
        </is>
      </c>
      <c r="J31" s="9" t="inlineStr">
        <is>
          <t>КАС006</t>
        </is>
      </c>
      <c r="K31" s="20" t="n">
        <v>46284.72916666666</v>
      </c>
      <c r="L31" s="9" t="n">
        <v>0.1041666666666667</v>
      </c>
      <c r="M31" s="15" t="n">
        <v>0.4</v>
      </c>
      <c r="N31" s="16" t="n">
        <v>3580</v>
      </c>
    </row>
    <row r="32">
      <c r="A32" s="9" t="inlineStr">
        <is>
          <t>ЗАК005</t>
        </is>
      </c>
      <c r="B32" s="9" t="inlineStr">
        <is>
          <t>ПОЛ005</t>
        </is>
      </c>
      <c r="C32" s="20" t="n">
        <v>46285.75</v>
      </c>
      <c r="D32" s="16" t="n">
        <v>14950</v>
      </c>
      <c r="E32" s="9" t="n">
        <v>1</v>
      </c>
      <c r="F32" s="9" t="inlineStr">
        <is>
          <t>первое касание</t>
        </is>
      </c>
      <c r="G32" s="9" t="inlineStr">
        <is>
          <t>платный внешний</t>
        </is>
      </c>
      <c r="H32" s="9" t="inlineStr">
        <is>
          <t>Внешний канал Б</t>
        </is>
      </c>
      <c r="I32" s="9" t="inlineStr">
        <is>
          <t>Размещение Б-1</t>
        </is>
      </c>
      <c r="J32" s="9" t="inlineStr">
        <is>
          <t>КАС007</t>
        </is>
      </c>
      <c r="K32" s="20" t="n">
        <v>46282.375</v>
      </c>
      <c r="L32" s="9" t="n">
        <v>3.375</v>
      </c>
      <c r="M32" s="15" t="n">
        <v>1</v>
      </c>
      <c r="N32" s="16" t="n">
        <v>14950</v>
      </c>
    </row>
    <row r="33">
      <c r="A33" s="9" t="inlineStr">
        <is>
          <t>ЗАК005</t>
        </is>
      </c>
      <c r="B33" s="9" t="inlineStr">
        <is>
          <t>ПОЛ005</t>
        </is>
      </c>
      <c r="C33" s="20" t="n">
        <v>46285.75</v>
      </c>
      <c r="D33" s="16" t="n">
        <v>14950</v>
      </c>
      <c r="E33" s="9" t="n">
        <v>1</v>
      </c>
      <c r="F33" s="9" t="inlineStr">
        <is>
          <t>первое касание</t>
        </is>
      </c>
      <c r="G33" s="9" t="inlineStr">
        <is>
          <t>собственный</t>
        </is>
      </c>
      <c r="H33" s="9" t="inlineStr">
        <is>
          <t>Основной канал</t>
        </is>
      </c>
      <c r="I33" s="9" t="inlineStr">
        <is>
          <t>Продающий пост запуска</t>
        </is>
      </c>
      <c r="J33" s="9" t="inlineStr">
        <is>
          <t>КАС008</t>
        </is>
      </c>
      <c r="K33" s="20" t="n">
        <v>46284.5</v>
      </c>
      <c r="L33" s="9" t="n">
        <v>1.25</v>
      </c>
      <c r="M33" s="15" t="n">
        <v>0</v>
      </c>
      <c r="N33" s="16" t="n">
        <v>0</v>
      </c>
    </row>
    <row r="34">
      <c r="A34" s="9" t="inlineStr">
        <is>
          <t>ЗАК005</t>
        </is>
      </c>
      <c r="B34" s="9" t="inlineStr">
        <is>
          <t>ПОЛ005</t>
        </is>
      </c>
      <c r="C34" s="20" t="n">
        <v>46285.75</v>
      </c>
      <c r="D34" s="16" t="n">
        <v>14950</v>
      </c>
      <c r="E34" s="9" t="n">
        <v>1</v>
      </c>
      <c r="F34" s="9" t="inlineStr">
        <is>
          <t>последнее касание</t>
        </is>
      </c>
      <c r="G34" s="9" t="inlineStr">
        <is>
          <t>платный внешний</t>
        </is>
      </c>
      <c r="H34" s="9" t="inlineStr">
        <is>
          <t>Внешний канал Б</t>
        </is>
      </c>
      <c r="I34" s="9" t="inlineStr">
        <is>
          <t>Размещение Б-1</t>
        </is>
      </c>
      <c r="J34" s="9" t="inlineStr">
        <is>
          <t>КАС007</t>
        </is>
      </c>
      <c r="K34" s="20" t="n">
        <v>46282.375</v>
      </c>
      <c r="L34" s="9" t="n">
        <v>3.375</v>
      </c>
      <c r="M34" s="15" t="n">
        <v>0</v>
      </c>
      <c r="N34" s="16" t="n">
        <v>0</v>
      </c>
    </row>
    <row r="35">
      <c r="A35" s="9" t="inlineStr">
        <is>
          <t>ЗАК005</t>
        </is>
      </c>
      <c r="B35" s="9" t="inlineStr">
        <is>
          <t>ПОЛ005</t>
        </is>
      </c>
      <c r="C35" s="20" t="n">
        <v>46285.75</v>
      </c>
      <c r="D35" s="16" t="n">
        <v>14950</v>
      </c>
      <c r="E35" s="9" t="n">
        <v>1</v>
      </c>
      <c r="F35" s="9" t="inlineStr">
        <is>
          <t>последнее касание</t>
        </is>
      </c>
      <c r="G35" s="9" t="inlineStr">
        <is>
          <t>собственный</t>
        </is>
      </c>
      <c r="H35" s="9" t="inlineStr">
        <is>
          <t>Основной канал</t>
        </is>
      </c>
      <c r="I35" s="9" t="inlineStr">
        <is>
          <t>Продающий пост запуска</t>
        </is>
      </c>
      <c r="J35" s="9" t="inlineStr">
        <is>
          <t>КАС008</t>
        </is>
      </c>
      <c r="K35" s="20" t="n">
        <v>46284.5</v>
      </c>
      <c r="L35" s="9" t="n">
        <v>1.25</v>
      </c>
      <c r="M35" s="15" t="n">
        <v>1</v>
      </c>
      <c r="N35" s="16" t="n">
        <v>14950</v>
      </c>
    </row>
    <row r="36">
      <c r="A36" s="9" t="inlineStr">
        <is>
          <t>ЗАК005</t>
        </is>
      </c>
      <c r="B36" s="9" t="inlineStr">
        <is>
          <t>ПОЛ005</t>
        </is>
      </c>
      <c r="C36" s="20" t="n">
        <v>46285.75</v>
      </c>
      <c r="D36" s="16" t="n">
        <v>14950</v>
      </c>
      <c r="E36" s="9" t="n">
        <v>1</v>
      </c>
      <c r="F36" s="9" t="inlineStr">
        <is>
          <t>линейная модель</t>
        </is>
      </c>
      <c r="G36" s="9" t="inlineStr">
        <is>
          <t>платный внешний</t>
        </is>
      </c>
      <c r="H36" s="9" t="inlineStr">
        <is>
          <t>Внешний канал Б</t>
        </is>
      </c>
      <c r="I36" s="9" t="inlineStr">
        <is>
          <t>Размещение Б-1</t>
        </is>
      </c>
      <c r="J36" s="9" t="inlineStr">
        <is>
          <t>КАС007</t>
        </is>
      </c>
      <c r="K36" s="20" t="n">
        <v>46282.375</v>
      </c>
      <c r="L36" s="9" t="n">
        <v>3.375</v>
      </c>
      <c r="M36" s="15" t="n">
        <v>0.5</v>
      </c>
      <c r="N36" s="16" t="n">
        <v>7475</v>
      </c>
    </row>
    <row r="37">
      <c r="A37" s="9" t="inlineStr">
        <is>
          <t>ЗАК005</t>
        </is>
      </c>
      <c r="B37" s="9" t="inlineStr">
        <is>
          <t>ПОЛ005</t>
        </is>
      </c>
      <c r="C37" s="20" t="n">
        <v>46285.75</v>
      </c>
      <c r="D37" s="16" t="n">
        <v>14950</v>
      </c>
      <c r="E37" s="9" t="n">
        <v>1</v>
      </c>
      <c r="F37" s="9" t="inlineStr">
        <is>
          <t>линейная модель</t>
        </is>
      </c>
      <c r="G37" s="9" t="inlineStr">
        <is>
          <t>собственный</t>
        </is>
      </c>
      <c r="H37" s="9" t="inlineStr">
        <is>
          <t>Основной канал</t>
        </is>
      </c>
      <c r="I37" s="9" t="inlineStr">
        <is>
          <t>Продающий пост запуска</t>
        </is>
      </c>
      <c r="J37" s="9" t="inlineStr">
        <is>
          <t>КАС008</t>
        </is>
      </c>
      <c r="K37" s="20" t="n">
        <v>46284.5</v>
      </c>
      <c r="L37" s="9" t="n">
        <v>1.25</v>
      </c>
      <c r="M37" s="15" t="n">
        <v>0.5</v>
      </c>
      <c r="N37" s="16" t="n">
        <v>7475</v>
      </c>
    </row>
    <row r="38">
      <c r="A38" s="9" t="inlineStr">
        <is>
          <t>ЗАК005</t>
        </is>
      </c>
      <c r="B38" s="9" t="inlineStr">
        <is>
          <t>ПОЛ005</t>
        </is>
      </c>
      <c r="C38" s="20" t="n">
        <v>46285.75</v>
      </c>
      <c r="D38" s="16" t="n">
        <v>14950</v>
      </c>
      <c r="E38" s="9" t="n">
        <v>1</v>
      </c>
      <c r="F38" s="9" t="inlineStr">
        <is>
          <t>затухание по времени</t>
        </is>
      </c>
      <c r="G38" s="9" t="inlineStr">
        <is>
          <t>платный внешний</t>
        </is>
      </c>
      <c r="H38" s="9" t="inlineStr">
        <is>
          <t>Внешний канал Б</t>
        </is>
      </c>
      <c r="I38" s="9" t="inlineStr">
        <is>
          <t>Размещение Б-1</t>
        </is>
      </c>
      <c r="J38" s="9" t="inlineStr">
        <is>
          <t>КАС007</t>
        </is>
      </c>
      <c r="K38" s="20" t="n">
        <v>46282.375</v>
      </c>
      <c r="L38" s="9" t="n">
        <v>3.375</v>
      </c>
      <c r="M38" s="15" t="n">
        <v>0.3796629078467475</v>
      </c>
      <c r="N38" s="16" t="n">
        <v>5675.960472308875</v>
      </c>
    </row>
    <row r="39">
      <c r="A39" s="9" t="inlineStr">
        <is>
          <t>ЗАК005</t>
        </is>
      </c>
      <c r="B39" s="9" t="inlineStr">
        <is>
          <t>ПОЛ005</t>
        </is>
      </c>
      <c r="C39" s="20" t="n">
        <v>46285.75</v>
      </c>
      <c r="D39" s="16" t="n">
        <v>14950</v>
      </c>
      <c r="E39" s="9" t="n">
        <v>1</v>
      </c>
      <c r="F39" s="9" t="inlineStr">
        <is>
          <t>затухание по времени</t>
        </is>
      </c>
      <c r="G39" s="9" t="inlineStr">
        <is>
          <t>собственный</t>
        </is>
      </c>
      <c r="H39" s="9" t="inlineStr">
        <is>
          <t>Основной канал</t>
        </is>
      </c>
      <c r="I39" s="9" t="inlineStr">
        <is>
          <t>Продающий пост запуска</t>
        </is>
      </c>
      <c r="J39" s="9" t="inlineStr">
        <is>
          <t>КАС008</t>
        </is>
      </c>
      <c r="K39" s="20" t="n">
        <v>46284.5</v>
      </c>
      <c r="L39" s="9" t="n">
        <v>1.25</v>
      </c>
      <c r="M39" s="15" t="n">
        <v>0.6203370921532524</v>
      </c>
      <c r="N39" s="16" t="n">
        <v>9274.039527691124</v>
      </c>
    </row>
    <row r="40">
      <c r="A40" s="9" t="inlineStr">
        <is>
          <t>ЗАК005</t>
        </is>
      </c>
      <c r="B40" s="9" t="inlineStr">
        <is>
          <t>ПОЛ005</t>
        </is>
      </c>
      <c r="C40" s="20" t="n">
        <v>46285.75</v>
      </c>
      <c r="D40" s="16" t="n">
        <v>14950</v>
      </c>
      <c r="E40" s="9" t="n">
        <v>1</v>
      </c>
      <c r="F40" s="9" t="inlineStr">
        <is>
          <t>позиционная модель</t>
        </is>
      </c>
      <c r="G40" s="9" t="inlineStr">
        <is>
          <t>платный внешний</t>
        </is>
      </c>
      <c r="H40" s="9" t="inlineStr">
        <is>
          <t>Внешний канал Б</t>
        </is>
      </c>
      <c r="I40" s="9" t="inlineStr">
        <is>
          <t>Размещение Б-1</t>
        </is>
      </c>
      <c r="J40" s="9" t="inlineStr">
        <is>
          <t>КАС007</t>
        </is>
      </c>
      <c r="K40" s="20" t="n">
        <v>46282.375</v>
      </c>
      <c r="L40" s="9" t="n">
        <v>3.375</v>
      </c>
      <c r="M40" s="15" t="n">
        <v>0.5</v>
      </c>
      <c r="N40" s="16" t="n">
        <v>7475</v>
      </c>
    </row>
    <row r="41">
      <c r="A41" s="9" t="inlineStr">
        <is>
          <t>ЗАК005</t>
        </is>
      </c>
      <c r="B41" s="9" t="inlineStr">
        <is>
          <t>ПОЛ005</t>
        </is>
      </c>
      <c r="C41" s="20" t="n">
        <v>46285.75</v>
      </c>
      <c r="D41" s="16" t="n">
        <v>14950</v>
      </c>
      <c r="E41" s="9" t="n">
        <v>1</v>
      </c>
      <c r="F41" s="9" t="inlineStr">
        <is>
          <t>позиционная модель</t>
        </is>
      </c>
      <c r="G41" s="9" t="inlineStr">
        <is>
          <t>собственный</t>
        </is>
      </c>
      <c r="H41" s="9" t="inlineStr">
        <is>
          <t>Основной канал</t>
        </is>
      </c>
      <c r="I41" s="9" t="inlineStr">
        <is>
          <t>Продающий пост запуска</t>
        </is>
      </c>
      <c r="J41" s="9" t="inlineStr">
        <is>
          <t>КАС008</t>
        </is>
      </c>
      <c r="K41" s="20" t="n">
        <v>46284.5</v>
      </c>
      <c r="L41" s="9" t="n">
        <v>1.25</v>
      </c>
      <c r="M41" s="15" t="n">
        <v>0.5</v>
      </c>
      <c r="N41" s="16" t="n">
        <v>7475</v>
      </c>
    </row>
    <row r="42">
      <c r="A42" s="9" t="inlineStr">
        <is>
          <t>ЗАК006</t>
        </is>
      </c>
      <c r="B42" s="9" t="inlineStr">
        <is>
          <t>ПОЛ006</t>
        </is>
      </c>
      <c r="C42" s="20" t="n">
        <v>46286.75</v>
      </c>
      <c r="D42" s="16" t="n">
        <v>8950</v>
      </c>
      <c r="E42" s="9" t="n">
        <v>1</v>
      </c>
      <c r="F42" s="9" t="inlineStr">
        <is>
          <t>первое касание</t>
        </is>
      </c>
      <c r="G42" s="9" t="inlineStr">
        <is>
          <t>собственный</t>
        </is>
      </c>
      <c r="H42" s="9" t="inlineStr">
        <is>
          <t>Основной канал</t>
        </is>
      </c>
      <c r="I42" s="9" t="inlineStr">
        <is>
          <t>Пост со скидкой</t>
        </is>
      </c>
      <c r="J42" s="9" t="inlineStr">
        <is>
          <t>КАС010</t>
        </is>
      </c>
      <c r="K42" s="20" t="n">
        <v>46284.41666666666</v>
      </c>
      <c r="L42" s="9" t="n">
        <v>2.333333333333333</v>
      </c>
      <c r="M42" s="15" t="n">
        <v>1</v>
      </c>
      <c r="N42" s="16" t="n">
        <v>8950</v>
      </c>
    </row>
    <row r="43">
      <c r="A43" s="9" t="inlineStr">
        <is>
          <t>ЗАК006</t>
        </is>
      </c>
      <c r="B43" s="9" t="inlineStr">
        <is>
          <t>ПОЛ006</t>
        </is>
      </c>
      <c r="C43" s="20" t="n">
        <v>46286.75</v>
      </c>
      <c r="D43" s="16" t="n">
        <v>8950</v>
      </c>
      <c r="E43" s="9" t="n">
        <v>1</v>
      </c>
      <c r="F43" s="9" t="inlineStr">
        <is>
          <t>последнее касание</t>
        </is>
      </c>
      <c r="G43" s="9" t="inlineStr">
        <is>
          <t>собственный</t>
        </is>
      </c>
      <c r="H43" s="9" t="inlineStr">
        <is>
          <t>Основной канал</t>
        </is>
      </c>
      <c r="I43" s="9" t="inlineStr">
        <is>
          <t>Пост со скидкой</t>
        </is>
      </c>
      <c r="J43" s="9" t="inlineStr">
        <is>
          <t>КАС010</t>
        </is>
      </c>
      <c r="K43" s="20" t="n">
        <v>46284.41666666666</v>
      </c>
      <c r="L43" s="9" t="n">
        <v>2.333333333333333</v>
      </c>
      <c r="M43" s="15" t="n">
        <v>1</v>
      </c>
      <c r="N43" s="16" t="n">
        <v>8950</v>
      </c>
    </row>
    <row r="44">
      <c r="A44" s="9" t="inlineStr">
        <is>
          <t>ЗАК006</t>
        </is>
      </c>
      <c r="B44" s="9" t="inlineStr">
        <is>
          <t>ПОЛ006</t>
        </is>
      </c>
      <c r="C44" s="20" t="n">
        <v>46286.75</v>
      </c>
      <c r="D44" s="16" t="n">
        <v>8950</v>
      </c>
      <c r="E44" s="9" t="n">
        <v>1</v>
      </c>
      <c r="F44" s="9" t="inlineStr">
        <is>
          <t>линейная модель</t>
        </is>
      </c>
      <c r="G44" s="9" t="inlineStr">
        <is>
          <t>собственный</t>
        </is>
      </c>
      <c r="H44" s="9" t="inlineStr">
        <is>
          <t>Основной канал</t>
        </is>
      </c>
      <c r="I44" s="9" t="inlineStr">
        <is>
          <t>Пост со скидкой</t>
        </is>
      </c>
      <c r="J44" s="9" t="inlineStr">
        <is>
          <t>КАС010</t>
        </is>
      </c>
      <c r="K44" s="20" t="n">
        <v>46284.41666666666</v>
      </c>
      <c r="L44" s="9" t="n">
        <v>2.333333333333333</v>
      </c>
      <c r="M44" s="15" t="n">
        <v>1</v>
      </c>
      <c r="N44" s="16" t="n">
        <v>8950</v>
      </c>
    </row>
    <row r="45">
      <c r="A45" s="9" t="inlineStr">
        <is>
          <t>ЗАК006</t>
        </is>
      </c>
      <c r="B45" s="9" t="inlineStr">
        <is>
          <t>ПОЛ006</t>
        </is>
      </c>
      <c r="C45" s="20" t="n">
        <v>46286.75</v>
      </c>
      <c r="D45" s="16" t="n">
        <v>8950</v>
      </c>
      <c r="E45" s="9" t="n">
        <v>1</v>
      </c>
      <c r="F45" s="9" t="inlineStr">
        <is>
          <t>затухание по времени</t>
        </is>
      </c>
      <c r="G45" s="9" t="inlineStr">
        <is>
          <t>собственный</t>
        </is>
      </c>
      <c r="H45" s="9" t="inlineStr">
        <is>
          <t>Основной канал</t>
        </is>
      </c>
      <c r="I45" s="9" t="inlineStr">
        <is>
          <t>Пост со скидкой</t>
        </is>
      </c>
      <c r="J45" s="9" t="inlineStr">
        <is>
          <t>КАС010</t>
        </is>
      </c>
      <c r="K45" s="20" t="n">
        <v>46284.41666666666</v>
      </c>
      <c r="L45" s="9" t="n">
        <v>2.333333333333333</v>
      </c>
      <c r="M45" s="15" t="n">
        <v>1</v>
      </c>
      <c r="N45" s="16" t="n">
        <v>8950</v>
      </c>
    </row>
    <row r="46">
      <c r="A46" s="9" t="inlineStr">
        <is>
          <t>ЗАК006</t>
        </is>
      </c>
      <c r="B46" s="9" t="inlineStr">
        <is>
          <t>ПОЛ006</t>
        </is>
      </c>
      <c r="C46" s="20" t="n">
        <v>46286.75</v>
      </c>
      <c r="D46" s="16" t="n">
        <v>8950</v>
      </c>
      <c r="E46" s="9" t="n">
        <v>1</v>
      </c>
      <c r="F46" s="9" t="inlineStr">
        <is>
          <t>позиционная модель</t>
        </is>
      </c>
      <c r="G46" s="9" t="inlineStr">
        <is>
          <t>собственный</t>
        </is>
      </c>
      <c r="H46" s="9" t="inlineStr">
        <is>
          <t>Основной канал</t>
        </is>
      </c>
      <c r="I46" s="9" t="inlineStr">
        <is>
          <t>Пост со скидкой</t>
        </is>
      </c>
      <c r="J46" s="9" t="inlineStr">
        <is>
          <t>КАС010</t>
        </is>
      </c>
      <c r="K46" s="20" t="n">
        <v>46284.41666666666</v>
      </c>
      <c r="L46" s="9" t="n">
        <v>2.333333333333333</v>
      </c>
      <c r="M46" s="15" t="n">
        <v>1</v>
      </c>
      <c r="N46" s="16" t="n">
        <v>8950</v>
      </c>
    </row>
    <row r="47">
      <c r="A47" s="9" t="inlineStr">
        <is>
          <t>ЗАК007</t>
        </is>
      </c>
      <c r="B47" s="9" t="inlineStr">
        <is>
          <t>ПОЛ007</t>
        </is>
      </c>
      <c r="C47" s="20" t="n">
        <v>46286.83333333334</v>
      </c>
      <c r="D47" s="16" t="n">
        <v>9900</v>
      </c>
      <c r="E47" s="9" t="n">
        <v>1</v>
      </c>
      <c r="F47" s="9" t="inlineStr">
        <is>
          <t>первое касание</t>
        </is>
      </c>
      <c r="G47" s="9" t="inlineStr">
        <is>
          <t>платный внешний</t>
        </is>
      </c>
      <c r="H47" s="9" t="inlineStr">
        <is>
          <t>Внешний канал А</t>
        </is>
      </c>
      <c r="I47" s="9" t="inlineStr">
        <is>
          <t>Размещение А-1</t>
        </is>
      </c>
      <c r="J47" s="9" t="inlineStr">
        <is>
          <t>КАС011</t>
        </is>
      </c>
      <c r="K47" s="20" t="n">
        <v>46280.41666666666</v>
      </c>
      <c r="L47" s="9" t="n">
        <v>6.416666666666667</v>
      </c>
      <c r="M47" s="15" t="n">
        <v>1</v>
      </c>
      <c r="N47" s="16" t="n">
        <v>9900</v>
      </c>
    </row>
    <row r="48">
      <c r="A48" s="9" t="inlineStr">
        <is>
          <t>ЗАК007</t>
        </is>
      </c>
      <c r="B48" s="9" t="inlineStr">
        <is>
          <t>ПОЛ007</t>
        </is>
      </c>
      <c r="C48" s="20" t="n">
        <v>46286.83333333334</v>
      </c>
      <c r="D48" s="16" t="n">
        <v>9900</v>
      </c>
      <c r="E48" s="9" t="n">
        <v>1</v>
      </c>
      <c r="F48" s="9" t="inlineStr">
        <is>
          <t>первое касание</t>
        </is>
      </c>
      <c r="G48" s="9" t="inlineStr">
        <is>
          <t>платный внешний</t>
        </is>
      </c>
      <c r="H48" s="9" t="inlineStr">
        <is>
          <t>Внешний канал Б</t>
        </is>
      </c>
      <c r="I48" s="9" t="inlineStr">
        <is>
          <t>Размещение Б-1</t>
        </is>
      </c>
      <c r="J48" s="9" t="inlineStr">
        <is>
          <t>КАС012</t>
        </is>
      </c>
      <c r="K48" s="20" t="n">
        <v>46282.5</v>
      </c>
      <c r="L48" s="9" t="n">
        <v>4.333333333333333</v>
      </c>
      <c r="M48" s="15" t="n">
        <v>0</v>
      </c>
      <c r="N48" s="16" t="n">
        <v>0</v>
      </c>
    </row>
    <row r="49">
      <c r="A49" s="9" t="inlineStr">
        <is>
          <t>ЗАК007</t>
        </is>
      </c>
      <c r="B49" s="9" t="inlineStr">
        <is>
          <t>ПОЛ007</t>
        </is>
      </c>
      <c r="C49" s="20" t="n">
        <v>46286.83333333334</v>
      </c>
      <c r="D49" s="16" t="n">
        <v>9900</v>
      </c>
      <c r="E49" s="9" t="n">
        <v>1</v>
      </c>
      <c r="F49" s="9" t="inlineStr">
        <is>
          <t>первое касание</t>
        </is>
      </c>
      <c r="G49" s="9" t="inlineStr">
        <is>
          <t>собственный</t>
        </is>
      </c>
      <c r="H49" s="9" t="inlineStr">
        <is>
          <t>Основной канал</t>
        </is>
      </c>
      <c r="I49" s="9" t="inlineStr">
        <is>
          <t>Пост со скидкой</t>
        </is>
      </c>
      <c r="J49" s="9" t="inlineStr">
        <is>
          <t>КАС013</t>
        </is>
      </c>
      <c r="K49" s="20" t="n">
        <v>46285.79166666666</v>
      </c>
      <c r="L49" s="9" t="n">
        <v>1.041666666666667</v>
      </c>
      <c r="M49" s="15" t="n">
        <v>0</v>
      </c>
      <c r="N49" s="16" t="n">
        <v>0</v>
      </c>
    </row>
    <row r="50">
      <c r="A50" s="9" t="inlineStr">
        <is>
          <t>ЗАК007</t>
        </is>
      </c>
      <c r="B50" s="9" t="inlineStr">
        <is>
          <t>ПОЛ007</t>
        </is>
      </c>
      <c r="C50" s="20" t="n">
        <v>46286.83333333334</v>
      </c>
      <c r="D50" s="16" t="n">
        <v>9900</v>
      </c>
      <c r="E50" s="9" t="n">
        <v>1</v>
      </c>
      <c r="F50" s="9" t="inlineStr">
        <is>
          <t>последнее касание</t>
        </is>
      </c>
      <c r="G50" s="9" t="inlineStr">
        <is>
          <t>платный внешний</t>
        </is>
      </c>
      <c r="H50" s="9" t="inlineStr">
        <is>
          <t>Внешний канал А</t>
        </is>
      </c>
      <c r="I50" s="9" t="inlineStr">
        <is>
          <t>Размещение А-1</t>
        </is>
      </c>
      <c r="J50" s="9" t="inlineStr">
        <is>
          <t>КАС011</t>
        </is>
      </c>
      <c r="K50" s="20" t="n">
        <v>46280.41666666666</v>
      </c>
      <c r="L50" s="9" t="n">
        <v>6.416666666666667</v>
      </c>
      <c r="M50" s="15" t="n">
        <v>0</v>
      </c>
      <c r="N50" s="16" t="n">
        <v>0</v>
      </c>
    </row>
    <row r="51">
      <c r="A51" s="9" t="inlineStr">
        <is>
          <t>ЗАК007</t>
        </is>
      </c>
      <c r="B51" s="9" t="inlineStr">
        <is>
          <t>ПОЛ007</t>
        </is>
      </c>
      <c r="C51" s="20" t="n">
        <v>46286.83333333334</v>
      </c>
      <c r="D51" s="16" t="n">
        <v>9900</v>
      </c>
      <c r="E51" s="9" t="n">
        <v>1</v>
      </c>
      <c r="F51" s="9" t="inlineStr">
        <is>
          <t>последнее касание</t>
        </is>
      </c>
      <c r="G51" s="9" t="inlineStr">
        <is>
          <t>платный внешний</t>
        </is>
      </c>
      <c r="H51" s="9" t="inlineStr">
        <is>
          <t>Внешний канал Б</t>
        </is>
      </c>
      <c r="I51" s="9" t="inlineStr">
        <is>
          <t>Размещение Б-1</t>
        </is>
      </c>
      <c r="J51" s="9" t="inlineStr">
        <is>
          <t>КАС012</t>
        </is>
      </c>
      <c r="K51" s="20" t="n">
        <v>46282.5</v>
      </c>
      <c r="L51" s="9" t="n">
        <v>4.333333333333333</v>
      </c>
      <c r="M51" s="15" t="n">
        <v>0</v>
      </c>
      <c r="N51" s="16" t="n">
        <v>0</v>
      </c>
    </row>
    <row r="52">
      <c r="A52" s="9" t="inlineStr">
        <is>
          <t>ЗАК007</t>
        </is>
      </c>
      <c r="B52" s="9" t="inlineStr">
        <is>
          <t>ПОЛ007</t>
        </is>
      </c>
      <c r="C52" s="20" t="n">
        <v>46286.83333333334</v>
      </c>
      <c r="D52" s="16" t="n">
        <v>9900</v>
      </c>
      <c r="E52" s="9" t="n">
        <v>1</v>
      </c>
      <c r="F52" s="9" t="inlineStr">
        <is>
          <t>последнее касание</t>
        </is>
      </c>
      <c r="G52" s="9" t="inlineStr">
        <is>
          <t>собственный</t>
        </is>
      </c>
      <c r="H52" s="9" t="inlineStr">
        <is>
          <t>Основной канал</t>
        </is>
      </c>
      <c r="I52" s="9" t="inlineStr">
        <is>
          <t>Пост со скидкой</t>
        </is>
      </c>
      <c r="J52" s="9" t="inlineStr">
        <is>
          <t>КАС013</t>
        </is>
      </c>
      <c r="K52" s="20" t="n">
        <v>46285.79166666666</v>
      </c>
      <c r="L52" s="9" t="n">
        <v>1.041666666666667</v>
      </c>
      <c r="M52" s="15" t="n">
        <v>1</v>
      </c>
      <c r="N52" s="16" t="n">
        <v>9900</v>
      </c>
    </row>
    <row r="53">
      <c r="A53" s="9" t="inlineStr">
        <is>
          <t>ЗАК007</t>
        </is>
      </c>
      <c r="B53" s="9" t="inlineStr">
        <is>
          <t>ПОЛ007</t>
        </is>
      </c>
      <c r="C53" s="20" t="n">
        <v>46286.83333333334</v>
      </c>
      <c r="D53" s="16" t="n">
        <v>9900</v>
      </c>
      <c r="E53" s="9" t="n">
        <v>1</v>
      </c>
      <c r="F53" s="9" t="inlineStr">
        <is>
          <t>линейная модель</t>
        </is>
      </c>
      <c r="G53" s="9" t="inlineStr">
        <is>
          <t>платный внешний</t>
        </is>
      </c>
      <c r="H53" s="9" t="inlineStr">
        <is>
          <t>Внешний канал А</t>
        </is>
      </c>
      <c r="I53" s="9" t="inlineStr">
        <is>
          <t>Размещение А-1</t>
        </is>
      </c>
      <c r="J53" s="9" t="inlineStr">
        <is>
          <t>КАС011</t>
        </is>
      </c>
      <c r="K53" s="20" t="n">
        <v>46280.41666666666</v>
      </c>
      <c r="L53" s="9" t="n">
        <v>6.416666666666667</v>
      </c>
      <c r="M53" s="15" t="n">
        <v>0.3333333333333333</v>
      </c>
      <c r="N53" s="16" t="n">
        <v>3300</v>
      </c>
    </row>
    <row r="54">
      <c r="A54" s="9" t="inlineStr">
        <is>
          <t>ЗАК007</t>
        </is>
      </c>
      <c r="B54" s="9" t="inlineStr">
        <is>
          <t>ПОЛ007</t>
        </is>
      </c>
      <c r="C54" s="20" t="n">
        <v>46286.83333333334</v>
      </c>
      <c r="D54" s="16" t="n">
        <v>9900</v>
      </c>
      <c r="E54" s="9" t="n">
        <v>1</v>
      </c>
      <c r="F54" s="9" t="inlineStr">
        <is>
          <t>линейная модель</t>
        </is>
      </c>
      <c r="G54" s="9" t="inlineStr">
        <is>
          <t>платный внешний</t>
        </is>
      </c>
      <c r="H54" s="9" t="inlineStr">
        <is>
          <t>Внешний канал Б</t>
        </is>
      </c>
      <c r="I54" s="9" t="inlineStr">
        <is>
          <t>Размещение Б-1</t>
        </is>
      </c>
      <c r="J54" s="9" t="inlineStr">
        <is>
          <t>КАС012</t>
        </is>
      </c>
      <c r="K54" s="20" t="n">
        <v>46282.5</v>
      </c>
      <c r="L54" s="9" t="n">
        <v>4.333333333333333</v>
      </c>
      <c r="M54" s="15" t="n">
        <v>0.3333333333333333</v>
      </c>
      <c r="N54" s="16" t="n">
        <v>3300</v>
      </c>
    </row>
    <row r="55">
      <c r="A55" s="9" t="inlineStr">
        <is>
          <t>ЗАК007</t>
        </is>
      </c>
      <c r="B55" s="9" t="inlineStr">
        <is>
          <t>ПОЛ007</t>
        </is>
      </c>
      <c r="C55" s="20" t="n">
        <v>46286.83333333334</v>
      </c>
      <c r="D55" s="16" t="n">
        <v>9900</v>
      </c>
      <c r="E55" s="9" t="n">
        <v>1</v>
      </c>
      <c r="F55" s="9" t="inlineStr">
        <is>
          <t>линейная модель</t>
        </is>
      </c>
      <c r="G55" s="9" t="inlineStr">
        <is>
          <t>собственный</t>
        </is>
      </c>
      <c r="H55" s="9" t="inlineStr">
        <is>
          <t>Основной канал</t>
        </is>
      </c>
      <c r="I55" s="9" t="inlineStr">
        <is>
          <t>Пост со скидкой</t>
        </is>
      </c>
      <c r="J55" s="9" t="inlineStr">
        <is>
          <t>КАС013</t>
        </is>
      </c>
      <c r="K55" s="20" t="n">
        <v>46285.79166666666</v>
      </c>
      <c r="L55" s="9" t="n">
        <v>1.041666666666667</v>
      </c>
      <c r="M55" s="15" t="n">
        <v>0.3333333333333333</v>
      </c>
      <c r="N55" s="16" t="n">
        <v>3300</v>
      </c>
    </row>
    <row r="56">
      <c r="A56" s="9" t="inlineStr">
        <is>
          <t>ЗАК007</t>
        </is>
      </c>
      <c r="B56" s="9" t="inlineStr">
        <is>
          <t>ПОЛ007</t>
        </is>
      </c>
      <c r="C56" s="20" t="n">
        <v>46286.83333333334</v>
      </c>
      <c r="D56" s="16" t="n">
        <v>9900</v>
      </c>
      <c r="E56" s="9" t="n">
        <v>1</v>
      </c>
      <c r="F56" s="9" t="inlineStr">
        <is>
          <t>затухание по времени</t>
        </is>
      </c>
      <c r="G56" s="9" t="inlineStr">
        <is>
          <t>платный внешний</t>
        </is>
      </c>
      <c r="H56" s="9" t="inlineStr">
        <is>
          <t>Внешний канал А</t>
        </is>
      </c>
      <c r="I56" s="9" t="inlineStr">
        <is>
          <t>Размещение А-1</t>
        </is>
      </c>
      <c r="J56" s="9" t="inlineStr">
        <is>
          <t>КАС011</t>
        </is>
      </c>
      <c r="K56" s="20" t="n">
        <v>46280.41666666666</v>
      </c>
      <c r="L56" s="9" t="n">
        <v>6.416666666666667</v>
      </c>
      <c r="M56" s="15" t="n">
        <v>0.1644626642853885</v>
      </c>
      <c r="N56" s="16" t="n">
        <v>1628.180376425346</v>
      </c>
    </row>
    <row r="57">
      <c r="A57" s="9" t="inlineStr">
        <is>
          <t>ЗАК007</t>
        </is>
      </c>
      <c r="B57" s="9" t="inlineStr">
        <is>
          <t>ПОЛ007</t>
        </is>
      </c>
      <c r="C57" s="20" t="n">
        <v>46286.83333333334</v>
      </c>
      <c r="D57" s="16" t="n">
        <v>9900</v>
      </c>
      <c r="E57" s="9" t="n">
        <v>1</v>
      </c>
      <c r="F57" s="9" t="inlineStr">
        <is>
          <t>затухание по времени</t>
        </is>
      </c>
      <c r="G57" s="9" t="inlineStr">
        <is>
          <t>платный внешний</t>
        </is>
      </c>
      <c r="H57" s="9" t="inlineStr">
        <is>
          <t>Внешний канал Б</t>
        </is>
      </c>
      <c r="I57" s="9" t="inlineStr">
        <is>
          <t>Размещение Б-1</t>
        </is>
      </c>
      <c r="J57" s="9" t="inlineStr">
        <is>
          <t>КАС012</t>
        </is>
      </c>
      <c r="K57" s="20" t="n">
        <v>46282.5</v>
      </c>
      <c r="L57" s="9" t="n">
        <v>4.333333333333333</v>
      </c>
      <c r="M57" s="15" t="n">
        <v>0.2661435402766795</v>
      </c>
      <c r="N57" s="16" t="n">
        <v>2634.821048739127</v>
      </c>
    </row>
    <row r="58">
      <c r="A58" s="9" t="inlineStr">
        <is>
          <t>ЗАК007</t>
        </is>
      </c>
      <c r="B58" s="9" t="inlineStr">
        <is>
          <t>ПОЛ007</t>
        </is>
      </c>
      <c r="C58" s="20" t="n">
        <v>46286.83333333334</v>
      </c>
      <c r="D58" s="16" t="n">
        <v>9900</v>
      </c>
      <c r="E58" s="9" t="n">
        <v>1</v>
      </c>
      <c r="F58" s="9" t="inlineStr">
        <is>
          <t>затухание по времени</t>
        </is>
      </c>
      <c r="G58" s="9" t="inlineStr">
        <is>
          <t>собственный</t>
        </is>
      </c>
      <c r="H58" s="9" t="inlineStr">
        <is>
          <t>Основной канал</t>
        </is>
      </c>
      <c r="I58" s="9" t="inlineStr">
        <is>
          <t>Пост со скидкой</t>
        </is>
      </c>
      <c r="J58" s="9" t="inlineStr">
        <is>
          <t>КАС013</t>
        </is>
      </c>
      <c r="K58" s="20" t="n">
        <v>46285.79166666666</v>
      </c>
      <c r="L58" s="9" t="n">
        <v>1.041666666666667</v>
      </c>
      <c r="M58" s="15" t="n">
        <v>0.569393795437932</v>
      </c>
      <c r="N58" s="16" t="n">
        <v>5636.998574835527</v>
      </c>
    </row>
    <row r="59">
      <c r="A59" s="9" t="inlineStr">
        <is>
          <t>ЗАК007</t>
        </is>
      </c>
      <c r="B59" s="9" t="inlineStr">
        <is>
          <t>ПОЛ007</t>
        </is>
      </c>
      <c r="C59" s="20" t="n">
        <v>46286.83333333334</v>
      </c>
      <c r="D59" s="16" t="n">
        <v>9900</v>
      </c>
      <c r="E59" s="9" t="n">
        <v>1</v>
      </c>
      <c r="F59" s="9" t="inlineStr">
        <is>
          <t>позиционная модель</t>
        </is>
      </c>
      <c r="G59" s="9" t="inlineStr">
        <is>
          <t>платный внешний</t>
        </is>
      </c>
      <c r="H59" s="9" t="inlineStr">
        <is>
          <t>Внешний канал А</t>
        </is>
      </c>
      <c r="I59" s="9" t="inlineStr">
        <is>
          <t>Размещение А-1</t>
        </is>
      </c>
      <c r="J59" s="9" t="inlineStr">
        <is>
          <t>КАС011</t>
        </is>
      </c>
      <c r="K59" s="20" t="n">
        <v>46280.41666666666</v>
      </c>
      <c r="L59" s="9" t="n">
        <v>6.416666666666667</v>
      </c>
      <c r="M59" s="15" t="n">
        <v>0.4</v>
      </c>
      <c r="N59" s="16" t="n">
        <v>3960</v>
      </c>
    </row>
    <row r="60">
      <c r="A60" s="9" t="inlineStr">
        <is>
          <t>ЗАК007</t>
        </is>
      </c>
      <c r="B60" s="9" t="inlineStr">
        <is>
          <t>ПОЛ007</t>
        </is>
      </c>
      <c r="C60" s="20" t="n">
        <v>46286.83333333334</v>
      </c>
      <c r="D60" s="16" t="n">
        <v>9900</v>
      </c>
      <c r="E60" s="9" t="n">
        <v>1</v>
      </c>
      <c r="F60" s="9" t="inlineStr">
        <is>
          <t>позиционная модель</t>
        </is>
      </c>
      <c r="G60" s="9" t="inlineStr">
        <is>
          <t>платный внешний</t>
        </is>
      </c>
      <c r="H60" s="9" t="inlineStr">
        <is>
          <t>Внешний канал Б</t>
        </is>
      </c>
      <c r="I60" s="9" t="inlineStr">
        <is>
          <t>Размещение Б-1</t>
        </is>
      </c>
      <c r="J60" s="9" t="inlineStr">
        <is>
          <t>КАС012</t>
        </is>
      </c>
      <c r="K60" s="20" t="n">
        <v>46282.5</v>
      </c>
      <c r="L60" s="9" t="n">
        <v>4.333333333333333</v>
      </c>
      <c r="M60" s="15" t="n">
        <v>0.2</v>
      </c>
      <c r="N60" s="16" t="n">
        <v>1980</v>
      </c>
    </row>
    <row r="61">
      <c r="A61" s="9" t="inlineStr">
        <is>
          <t>ЗАК007</t>
        </is>
      </c>
      <c r="B61" s="9" t="inlineStr">
        <is>
          <t>ПОЛ007</t>
        </is>
      </c>
      <c r="C61" s="20" t="n">
        <v>46286.83333333334</v>
      </c>
      <c r="D61" s="16" t="n">
        <v>9900</v>
      </c>
      <c r="E61" s="9" t="n">
        <v>1</v>
      </c>
      <c r="F61" s="9" t="inlineStr">
        <is>
          <t>позиционная модель</t>
        </is>
      </c>
      <c r="G61" s="9" t="inlineStr">
        <is>
          <t>собственный</t>
        </is>
      </c>
      <c r="H61" s="9" t="inlineStr">
        <is>
          <t>Основной канал</t>
        </is>
      </c>
      <c r="I61" s="9" t="inlineStr">
        <is>
          <t>Пост со скидкой</t>
        </is>
      </c>
      <c r="J61" s="9" t="inlineStr">
        <is>
          <t>КАС013</t>
        </is>
      </c>
      <c r="K61" s="20" t="n">
        <v>46285.79166666666</v>
      </c>
      <c r="L61" s="9" t="n">
        <v>1.041666666666667</v>
      </c>
      <c r="M61" s="15" t="n">
        <v>0.4</v>
      </c>
      <c r="N61" s="16" t="n">
        <v>3960</v>
      </c>
    </row>
    <row r="62">
      <c r="A62" s="9" t="inlineStr">
        <is>
          <t>ЗАК008</t>
        </is>
      </c>
      <c r="B62" s="9" t="inlineStr">
        <is>
          <t>ПОЛ008</t>
        </is>
      </c>
      <c r="C62" s="20" t="n">
        <v>46287.5</v>
      </c>
      <c r="D62" s="16" t="n">
        <v>6490</v>
      </c>
      <c r="E62" s="9" t="n">
        <v>1</v>
      </c>
      <c r="F62" s="9" t="inlineStr">
        <is>
          <t>первое касание</t>
        </is>
      </c>
      <c r="G62" s="9" t="inlineStr">
        <is>
          <t>платный внешний</t>
        </is>
      </c>
      <c r="H62" s="9" t="inlineStr">
        <is>
          <t>Внешний канал Б</t>
        </is>
      </c>
      <c r="I62" s="9" t="inlineStr">
        <is>
          <t>Размещение Б-1</t>
        </is>
      </c>
      <c r="J62" s="9" t="inlineStr">
        <is>
          <t>КАС014</t>
        </is>
      </c>
      <c r="K62" s="20" t="n">
        <v>46286.66666666666</v>
      </c>
      <c r="L62" s="9" t="n">
        <v>0.8333333333333334</v>
      </c>
      <c r="M62" s="15" t="n">
        <v>1</v>
      </c>
      <c r="N62" s="16" t="n">
        <v>6490</v>
      </c>
    </row>
    <row r="63">
      <c r="A63" s="9" t="inlineStr">
        <is>
          <t>ЗАК008</t>
        </is>
      </c>
      <c r="B63" s="9" t="inlineStr">
        <is>
          <t>ПОЛ008</t>
        </is>
      </c>
      <c r="C63" s="20" t="n">
        <v>46287.5</v>
      </c>
      <c r="D63" s="16" t="n">
        <v>6490</v>
      </c>
      <c r="E63" s="9" t="n">
        <v>1</v>
      </c>
      <c r="F63" s="9" t="inlineStr">
        <is>
          <t>последнее касание</t>
        </is>
      </c>
      <c r="G63" s="9" t="inlineStr">
        <is>
          <t>платный внешний</t>
        </is>
      </c>
      <c r="H63" s="9" t="inlineStr">
        <is>
          <t>Внешний канал Б</t>
        </is>
      </c>
      <c r="I63" s="9" t="inlineStr">
        <is>
          <t>Размещение Б-1</t>
        </is>
      </c>
      <c r="J63" s="9" t="inlineStr">
        <is>
          <t>КАС014</t>
        </is>
      </c>
      <c r="K63" s="20" t="n">
        <v>46286.66666666666</v>
      </c>
      <c r="L63" s="9" t="n">
        <v>0.8333333333333334</v>
      </c>
      <c r="M63" s="15" t="n">
        <v>1</v>
      </c>
      <c r="N63" s="16" t="n">
        <v>6490</v>
      </c>
    </row>
    <row r="64">
      <c r="A64" s="9" t="inlineStr">
        <is>
          <t>ЗАК008</t>
        </is>
      </c>
      <c r="B64" s="9" t="inlineStr">
        <is>
          <t>ПОЛ008</t>
        </is>
      </c>
      <c r="C64" s="20" t="n">
        <v>46287.5</v>
      </c>
      <c r="D64" s="16" t="n">
        <v>6490</v>
      </c>
      <c r="E64" s="9" t="n">
        <v>1</v>
      </c>
      <c r="F64" s="9" t="inlineStr">
        <is>
          <t>линейная модель</t>
        </is>
      </c>
      <c r="G64" s="9" t="inlineStr">
        <is>
          <t>платный внешний</t>
        </is>
      </c>
      <c r="H64" s="9" t="inlineStr">
        <is>
          <t>Внешний канал Б</t>
        </is>
      </c>
      <c r="I64" s="9" t="inlineStr">
        <is>
          <t>Размещение Б-1</t>
        </is>
      </c>
      <c r="J64" s="9" t="inlineStr">
        <is>
          <t>КАС014</t>
        </is>
      </c>
      <c r="K64" s="20" t="n">
        <v>46286.66666666666</v>
      </c>
      <c r="L64" s="9" t="n">
        <v>0.8333333333333334</v>
      </c>
      <c r="M64" s="15" t="n">
        <v>1</v>
      </c>
      <c r="N64" s="16" t="n">
        <v>6490</v>
      </c>
    </row>
    <row r="65">
      <c r="A65" s="9" t="inlineStr">
        <is>
          <t>ЗАК008</t>
        </is>
      </c>
      <c r="B65" s="9" t="inlineStr">
        <is>
          <t>ПОЛ008</t>
        </is>
      </c>
      <c r="C65" s="20" t="n">
        <v>46287.5</v>
      </c>
      <c r="D65" s="16" t="n">
        <v>6490</v>
      </c>
      <c r="E65" s="9" t="n">
        <v>1</v>
      </c>
      <c r="F65" s="9" t="inlineStr">
        <is>
          <t>затухание по времени</t>
        </is>
      </c>
      <c r="G65" s="9" t="inlineStr">
        <is>
          <t>платный внешний</t>
        </is>
      </c>
      <c r="H65" s="9" t="inlineStr">
        <is>
          <t>Внешний канал Б</t>
        </is>
      </c>
      <c r="I65" s="9" t="inlineStr">
        <is>
          <t>Размещение Б-1</t>
        </is>
      </c>
      <c r="J65" s="9" t="inlineStr">
        <is>
          <t>КАС014</t>
        </is>
      </c>
      <c r="K65" s="20" t="n">
        <v>46286.66666666666</v>
      </c>
      <c r="L65" s="9" t="n">
        <v>0.8333333333333334</v>
      </c>
      <c r="M65" s="15" t="n">
        <v>1</v>
      </c>
      <c r="N65" s="16" t="n">
        <v>6490</v>
      </c>
    </row>
    <row r="66">
      <c r="A66" s="9" t="inlineStr">
        <is>
          <t>ЗАК008</t>
        </is>
      </c>
      <c r="B66" s="9" t="inlineStr">
        <is>
          <t>ПОЛ008</t>
        </is>
      </c>
      <c r="C66" s="20" t="n">
        <v>46287.5</v>
      </c>
      <c r="D66" s="16" t="n">
        <v>6490</v>
      </c>
      <c r="E66" s="9" t="n">
        <v>1</v>
      </c>
      <c r="F66" s="9" t="inlineStr">
        <is>
          <t>позиционная модель</t>
        </is>
      </c>
      <c r="G66" s="9" t="inlineStr">
        <is>
          <t>платный внешний</t>
        </is>
      </c>
      <c r="H66" s="9" t="inlineStr">
        <is>
          <t>Внешний канал Б</t>
        </is>
      </c>
      <c r="I66" s="9" t="inlineStr">
        <is>
          <t>Размещение Б-1</t>
        </is>
      </c>
      <c r="J66" s="9" t="inlineStr">
        <is>
          <t>КАС014</t>
        </is>
      </c>
      <c r="K66" s="20" t="n">
        <v>46286.66666666666</v>
      </c>
      <c r="L66" s="9" t="n">
        <v>0.8333333333333334</v>
      </c>
      <c r="M66" s="15" t="n">
        <v>1</v>
      </c>
      <c r="N66" s="16" t="n">
        <v>6490</v>
      </c>
    </row>
    <row r="67">
      <c r="A67" s="9" t="inlineStr">
        <is>
          <t>ЗАК009</t>
        </is>
      </c>
      <c r="B67" s="9" t="inlineStr">
        <is>
          <t>ПОЛ009</t>
        </is>
      </c>
      <c r="C67" s="20" t="n">
        <v>46288.70833333334</v>
      </c>
      <c r="D67" s="16" t="n">
        <v>8950</v>
      </c>
      <c r="E67" s="9" t="n">
        <v>1</v>
      </c>
      <c r="F67" s="9" t="inlineStr">
        <is>
          <t>первое касание</t>
        </is>
      </c>
      <c r="G67" s="9" t="inlineStr">
        <is>
          <t>неизвестный</t>
        </is>
      </c>
      <c r="H67" s="9" t="inlineStr">
        <is>
          <t>Неизвестный источник</t>
        </is>
      </c>
      <c r="I67" s="9" t="inlineStr">
        <is>
          <t>Нет данных</t>
        </is>
      </c>
      <c r="J67" s="9" t="inlineStr">
        <is>
          <t>НЕТ</t>
        </is>
      </c>
      <c r="K67" s="9" t="n"/>
      <c r="L67" s="9" t="n"/>
      <c r="M67" s="15" t="n">
        <v>1</v>
      </c>
      <c r="N67" s="16" t="n">
        <v>8950</v>
      </c>
    </row>
    <row r="68">
      <c r="A68" s="9" t="inlineStr">
        <is>
          <t>ЗАК009</t>
        </is>
      </c>
      <c r="B68" s="9" t="inlineStr">
        <is>
          <t>ПОЛ009</t>
        </is>
      </c>
      <c r="C68" s="20" t="n">
        <v>46288.70833333334</v>
      </c>
      <c r="D68" s="16" t="n">
        <v>8950</v>
      </c>
      <c r="E68" s="9" t="n">
        <v>1</v>
      </c>
      <c r="F68" s="9" t="inlineStr">
        <is>
          <t>последнее касание</t>
        </is>
      </c>
      <c r="G68" s="9" t="inlineStr">
        <is>
          <t>неизвестный</t>
        </is>
      </c>
      <c r="H68" s="9" t="inlineStr">
        <is>
          <t>Неизвестный источник</t>
        </is>
      </c>
      <c r="I68" s="9" t="inlineStr">
        <is>
          <t>Нет данных</t>
        </is>
      </c>
      <c r="J68" s="9" t="inlineStr">
        <is>
          <t>НЕТ</t>
        </is>
      </c>
      <c r="K68" s="9" t="n"/>
      <c r="L68" s="9" t="n"/>
      <c r="M68" s="15" t="n">
        <v>1</v>
      </c>
      <c r="N68" s="16" t="n">
        <v>8950</v>
      </c>
    </row>
    <row r="69">
      <c r="A69" s="9" t="inlineStr">
        <is>
          <t>ЗАК009</t>
        </is>
      </c>
      <c r="B69" s="9" t="inlineStr">
        <is>
          <t>ПОЛ009</t>
        </is>
      </c>
      <c r="C69" s="20" t="n">
        <v>46288.70833333334</v>
      </c>
      <c r="D69" s="16" t="n">
        <v>8950</v>
      </c>
      <c r="E69" s="9" t="n">
        <v>1</v>
      </c>
      <c r="F69" s="9" t="inlineStr">
        <is>
          <t>линейная модель</t>
        </is>
      </c>
      <c r="G69" s="9" t="inlineStr">
        <is>
          <t>неизвестный</t>
        </is>
      </c>
      <c r="H69" s="9" t="inlineStr">
        <is>
          <t>Неизвестный источник</t>
        </is>
      </c>
      <c r="I69" s="9" t="inlineStr">
        <is>
          <t>Нет данных</t>
        </is>
      </c>
      <c r="J69" s="9" t="inlineStr">
        <is>
          <t>НЕТ</t>
        </is>
      </c>
      <c r="K69" s="9" t="n"/>
      <c r="L69" s="9" t="n"/>
      <c r="M69" s="15" t="n">
        <v>1</v>
      </c>
      <c r="N69" s="16" t="n">
        <v>8950</v>
      </c>
    </row>
    <row r="70">
      <c r="A70" s="9" t="inlineStr">
        <is>
          <t>ЗАК009</t>
        </is>
      </c>
      <c r="B70" s="9" t="inlineStr">
        <is>
          <t>ПОЛ009</t>
        </is>
      </c>
      <c r="C70" s="20" t="n">
        <v>46288.70833333334</v>
      </c>
      <c r="D70" s="16" t="n">
        <v>8950</v>
      </c>
      <c r="E70" s="9" t="n">
        <v>1</v>
      </c>
      <c r="F70" s="9" t="inlineStr">
        <is>
          <t>затухание по времени</t>
        </is>
      </c>
      <c r="G70" s="9" t="inlineStr">
        <is>
          <t>неизвестный</t>
        </is>
      </c>
      <c r="H70" s="9" t="inlineStr">
        <is>
          <t>Неизвестный источник</t>
        </is>
      </c>
      <c r="I70" s="9" t="inlineStr">
        <is>
          <t>Нет данных</t>
        </is>
      </c>
      <c r="J70" s="9" t="inlineStr">
        <is>
          <t>НЕТ</t>
        </is>
      </c>
      <c r="K70" s="9" t="n"/>
      <c r="L70" s="9" t="n"/>
      <c r="M70" s="15" t="n">
        <v>1</v>
      </c>
      <c r="N70" s="16" t="n">
        <v>8950</v>
      </c>
    </row>
    <row r="71">
      <c r="A71" s="9" t="inlineStr">
        <is>
          <t>ЗАК009</t>
        </is>
      </c>
      <c r="B71" s="9" t="inlineStr">
        <is>
          <t>ПОЛ009</t>
        </is>
      </c>
      <c r="C71" s="20" t="n">
        <v>46288.70833333334</v>
      </c>
      <c r="D71" s="16" t="n">
        <v>8950</v>
      </c>
      <c r="E71" s="9" t="n">
        <v>1</v>
      </c>
      <c r="F71" s="9" t="inlineStr">
        <is>
          <t>позиционная модель</t>
        </is>
      </c>
      <c r="G71" s="9" t="inlineStr">
        <is>
          <t>неизвестный</t>
        </is>
      </c>
      <c r="H71" s="9" t="inlineStr">
        <is>
          <t>Неизвестный источник</t>
        </is>
      </c>
      <c r="I71" s="9" t="inlineStr">
        <is>
          <t>Нет данных</t>
        </is>
      </c>
      <c r="J71" s="9" t="inlineStr">
        <is>
          <t>НЕТ</t>
        </is>
      </c>
      <c r="K71" s="9" t="n"/>
      <c r="L71" s="9" t="n"/>
      <c r="M71" s="15" t="n">
        <v>1</v>
      </c>
      <c r="N71" s="16" t="n">
        <v>8950</v>
      </c>
    </row>
    <row r="72">
      <c r="A72" s="9" t="inlineStr">
        <is>
          <t>ЗАК010</t>
        </is>
      </c>
      <c r="B72" s="9" t="inlineStr">
        <is>
          <t>ПОЛ010</t>
        </is>
      </c>
      <c r="C72" s="20" t="n">
        <v>46289.58333333334</v>
      </c>
      <c r="D72" s="16" t="n">
        <v>14950</v>
      </c>
      <c r="E72" s="9" t="n">
        <v>1</v>
      </c>
      <c r="F72" s="9" t="inlineStr">
        <is>
          <t>первое касание</t>
        </is>
      </c>
      <c r="G72" s="9" t="inlineStr">
        <is>
          <t>платный внешний</t>
        </is>
      </c>
      <c r="H72" s="9" t="inlineStr">
        <is>
          <t>Внешний канал Б</t>
        </is>
      </c>
      <c r="I72" s="9" t="inlineStr">
        <is>
          <t>Размещение Б-1</t>
        </is>
      </c>
      <c r="J72" s="9" t="inlineStr">
        <is>
          <t>КАС016</t>
        </is>
      </c>
      <c r="K72" s="20" t="n">
        <v>46288.45833333334</v>
      </c>
      <c r="L72" s="9" t="n">
        <v>1.125</v>
      </c>
      <c r="M72" s="15" t="n">
        <v>1</v>
      </c>
      <c r="N72" s="16" t="n">
        <v>14950</v>
      </c>
    </row>
    <row r="73">
      <c r="A73" s="9" t="inlineStr">
        <is>
          <t>ЗАК010</t>
        </is>
      </c>
      <c r="B73" s="9" t="inlineStr">
        <is>
          <t>ПОЛ010</t>
        </is>
      </c>
      <c r="C73" s="20" t="n">
        <v>46289.58333333334</v>
      </c>
      <c r="D73" s="16" t="n">
        <v>14950</v>
      </c>
      <c r="E73" s="9" t="n">
        <v>1</v>
      </c>
      <c r="F73" s="9" t="inlineStr">
        <is>
          <t>последнее касание</t>
        </is>
      </c>
      <c r="G73" s="9" t="inlineStr">
        <is>
          <t>платный внешний</t>
        </is>
      </c>
      <c r="H73" s="9" t="inlineStr">
        <is>
          <t>Внешний канал Б</t>
        </is>
      </c>
      <c r="I73" s="9" t="inlineStr">
        <is>
          <t>Размещение Б-1</t>
        </is>
      </c>
      <c r="J73" s="9" t="inlineStr">
        <is>
          <t>КАС016</t>
        </is>
      </c>
      <c r="K73" s="20" t="n">
        <v>46288.45833333334</v>
      </c>
      <c r="L73" s="9" t="n">
        <v>1.125</v>
      </c>
      <c r="M73" s="15" t="n">
        <v>1</v>
      </c>
      <c r="N73" s="16" t="n">
        <v>14950</v>
      </c>
    </row>
    <row r="74">
      <c r="A74" s="9" t="inlineStr">
        <is>
          <t>ЗАК010</t>
        </is>
      </c>
      <c r="B74" s="9" t="inlineStr">
        <is>
          <t>ПОЛ010</t>
        </is>
      </c>
      <c r="C74" s="20" t="n">
        <v>46289.58333333334</v>
      </c>
      <c r="D74" s="16" t="n">
        <v>14950</v>
      </c>
      <c r="E74" s="9" t="n">
        <v>1</v>
      </c>
      <c r="F74" s="9" t="inlineStr">
        <is>
          <t>линейная модель</t>
        </is>
      </c>
      <c r="G74" s="9" t="inlineStr">
        <is>
          <t>платный внешний</t>
        </is>
      </c>
      <c r="H74" s="9" t="inlineStr">
        <is>
          <t>Внешний канал Б</t>
        </is>
      </c>
      <c r="I74" s="9" t="inlineStr">
        <is>
          <t>Размещение Б-1</t>
        </is>
      </c>
      <c r="J74" s="9" t="inlineStr">
        <is>
          <t>КАС016</t>
        </is>
      </c>
      <c r="K74" s="20" t="n">
        <v>46288.45833333334</v>
      </c>
      <c r="L74" s="9" t="n">
        <v>1.125</v>
      </c>
      <c r="M74" s="15" t="n">
        <v>1</v>
      </c>
      <c r="N74" s="16" t="n">
        <v>14950</v>
      </c>
    </row>
    <row r="75">
      <c r="A75" s="9" t="inlineStr">
        <is>
          <t>ЗАК010</t>
        </is>
      </c>
      <c r="B75" s="9" t="inlineStr">
        <is>
          <t>ПОЛ010</t>
        </is>
      </c>
      <c r="C75" s="20" t="n">
        <v>46289.58333333334</v>
      </c>
      <c r="D75" s="16" t="n">
        <v>14950</v>
      </c>
      <c r="E75" s="9" t="n">
        <v>1</v>
      </c>
      <c r="F75" s="9" t="inlineStr">
        <is>
          <t>затухание по времени</t>
        </is>
      </c>
      <c r="G75" s="9" t="inlineStr">
        <is>
          <t>платный внешний</t>
        </is>
      </c>
      <c r="H75" s="9" t="inlineStr">
        <is>
          <t>Внешний канал Б</t>
        </is>
      </c>
      <c r="I75" s="9" t="inlineStr">
        <is>
          <t>Размещение Б-1</t>
        </is>
      </c>
      <c r="J75" s="9" t="inlineStr">
        <is>
          <t>КАС016</t>
        </is>
      </c>
      <c r="K75" s="20" t="n">
        <v>46288.45833333334</v>
      </c>
      <c r="L75" s="9" t="n">
        <v>1.125</v>
      </c>
      <c r="M75" s="15" t="n">
        <v>1</v>
      </c>
      <c r="N75" s="16" t="n">
        <v>14950</v>
      </c>
    </row>
    <row r="76">
      <c r="A76" s="9" t="inlineStr">
        <is>
          <t>ЗАК010</t>
        </is>
      </c>
      <c r="B76" s="9" t="inlineStr">
        <is>
          <t>ПОЛ010</t>
        </is>
      </c>
      <c r="C76" s="20" t="n">
        <v>46289.58333333334</v>
      </c>
      <c r="D76" s="16" t="n">
        <v>14950</v>
      </c>
      <c r="E76" s="9" t="n">
        <v>1</v>
      </c>
      <c r="F76" s="9" t="inlineStr">
        <is>
          <t>позиционная модель</t>
        </is>
      </c>
      <c r="G76" s="9" t="inlineStr">
        <is>
          <t>платный внешний</t>
        </is>
      </c>
      <c r="H76" s="9" t="inlineStr">
        <is>
          <t>Внешний канал Б</t>
        </is>
      </c>
      <c r="I76" s="9" t="inlineStr">
        <is>
          <t>Размещение Б-1</t>
        </is>
      </c>
      <c r="J76" s="9" t="inlineStr">
        <is>
          <t>КАС016</t>
        </is>
      </c>
      <c r="K76" s="20" t="n">
        <v>46288.45833333334</v>
      </c>
      <c r="L76" s="9" t="n">
        <v>1.125</v>
      </c>
      <c r="M76" s="15" t="n">
        <v>1</v>
      </c>
      <c r="N76" s="16" t="n">
        <v>14950</v>
      </c>
    </row>
    <row r="77">
      <c r="A77" s="9" t="inlineStr">
        <is>
          <t>ЗАК011</t>
        </is>
      </c>
      <c r="B77" s="9" t="inlineStr">
        <is>
          <t>ПОЛ011</t>
        </is>
      </c>
      <c r="C77" s="20" t="n">
        <v>46281.75</v>
      </c>
      <c r="D77" s="16" t="n">
        <v>6490</v>
      </c>
      <c r="E77" s="9" t="n">
        <v>1</v>
      </c>
      <c r="F77" s="9" t="inlineStr">
        <is>
          <t>первое касание</t>
        </is>
      </c>
      <c r="G77" s="9" t="inlineStr">
        <is>
          <t>платный внешний</t>
        </is>
      </c>
      <c r="H77" s="9" t="inlineStr">
        <is>
          <t>Внешний канал А</t>
        </is>
      </c>
      <c r="I77" s="9" t="inlineStr">
        <is>
          <t>Размещение А-1</t>
        </is>
      </c>
      <c r="J77" s="9" t="inlineStr">
        <is>
          <t>КАС017</t>
        </is>
      </c>
      <c r="K77" s="20" t="n">
        <v>46279.75</v>
      </c>
      <c r="L77" s="9" t="n">
        <v>2</v>
      </c>
      <c r="M77" s="15" t="n">
        <v>1</v>
      </c>
      <c r="N77" s="16" t="n">
        <v>6490</v>
      </c>
    </row>
    <row r="78">
      <c r="A78" s="9" t="inlineStr">
        <is>
          <t>ЗАК011</t>
        </is>
      </c>
      <c r="B78" s="9" t="inlineStr">
        <is>
          <t>ПОЛ011</t>
        </is>
      </c>
      <c r="C78" s="20" t="n">
        <v>46281.75</v>
      </c>
      <c r="D78" s="16" t="n">
        <v>6490</v>
      </c>
      <c r="E78" s="9" t="n">
        <v>1</v>
      </c>
      <c r="F78" s="9" t="inlineStr">
        <is>
          <t>последнее касание</t>
        </is>
      </c>
      <c r="G78" s="9" t="inlineStr">
        <is>
          <t>платный внешний</t>
        </is>
      </c>
      <c r="H78" s="9" t="inlineStr">
        <is>
          <t>Внешний канал А</t>
        </is>
      </c>
      <c r="I78" s="9" t="inlineStr">
        <is>
          <t>Размещение А-1</t>
        </is>
      </c>
      <c r="J78" s="9" t="inlineStr">
        <is>
          <t>КАС017</t>
        </is>
      </c>
      <c r="K78" s="20" t="n">
        <v>46279.75</v>
      </c>
      <c r="L78" s="9" t="n">
        <v>2</v>
      </c>
      <c r="M78" s="15" t="n">
        <v>1</v>
      </c>
      <c r="N78" s="16" t="n">
        <v>6490</v>
      </c>
    </row>
    <row r="79">
      <c r="A79" s="9" t="inlineStr">
        <is>
          <t>ЗАК011</t>
        </is>
      </c>
      <c r="B79" s="9" t="inlineStr">
        <is>
          <t>ПОЛ011</t>
        </is>
      </c>
      <c r="C79" s="20" t="n">
        <v>46281.75</v>
      </c>
      <c r="D79" s="16" t="n">
        <v>6490</v>
      </c>
      <c r="E79" s="9" t="n">
        <v>1</v>
      </c>
      <c r="F79" s="9" t="inlineStr">
        <is>
          <t>линейная модель</t>
        </is>
      </c>
      <c r="G79" s="9" t="inlineStr">
        <is>
          <t>платный внешний</t>
        </is>
      </c>
      <c r="H79" s="9" t="inlineStr">
        <is>
          <t>Внешний канал А</t>
        </is>
      </c>
      <c r="I79" s="9" t="inlineStr">
        <is>
          <t>Размещение А-1</t>
        </is>
      </c>
      <c r="J79" s="9" t="inlineStr">
        <is>
          <t>КАС017</t>
        </is>
      </c>
      <c r="K79" s="20" t="n">
        <v>46279.75</v>
      </c>
      <c r="L79" s="9" t="n">
        <v>2</v>
      </c>
      <c r="M79" s="15" t="n">
        <v>1</v>
      </c>
      <c r="N79" s="16" t="n">
        <v>6490</v>
      </c>
    </row>
    <row r="80">
      <c r="A80" s="9" t="inlineStr">
        <is>
          <t>ЗАК011</t>
        </is>
      </c>
      <c r="B80" s="9" t="inlineStr">
        <is>
          <t>ПОЛ011</t>
        </is>
      </c>
      <c r="C80" s="20" t="n">
        <v>46281.75</v>
      </c>
      <c r="D80" s="16" t="n">
        <v>6490</v>
      </c>
      <c r="E80" s="9" t="n">
        <v>1</v>
      </c>
      <c r="F80" s="9" t="inlineStr">
        <is>
          <t>затухание по времени</t>
        </is>
      </c>
      <c r="G80" s="9" t="inlineStr">
        <is>
          <t>платный внешний</t>
        </is>
      </c>
      <c r="H80" s="9" t="inlineStr">
        <is>
          <t>Внешний канал А</t>
        </is>
      </c>
      <c r="I80" s="9" t="inlineStr">
        <is>
          <t>Размещение А-1</t>
        </is>
      </c>
      <c r="J80" s="9" t="inlineStr">
        <is>
          <t>КАС017</t>
        </is>
      </c>
      <c r="K80" s="20" t="n">
        <v>46279.75</v>
      </c>
      <c r="L80" s="9" t="n">
        <v>2</v>
      </c>
      <c r="M80" s="15" t="n">
        <v>1</v>
      </c>
      <c r="N80" s="16" t="n">
        <v>6490</v>
      </c>
    </row>
    <row r="81">
      <c r="A81" s="9" t="inlineStr">
        <is>
          <t>ЗАК011</t>
        </is>
      </c>
      <c r="B81" s="9" t="inlineStr">
        <is>
          <t>ПОЛ011</t>
        </is>
      </c>
      <c r="C81" s="20" t="n">
        <v>46281.75</v>
      </c>
      <c r="D81" s="16" t="n">
        <v>6490</v>
      </c>
      <c r="E81" s="9" t="n">
        <v>1</v>
      </c>
      <c r="F81" s="9" t="inlineStr">
        <is>
          <t>позиционная модель</t>
        </is>
      </c>
      <c r="G81" s="9" t="inlineStr">
        <is>
          <t>платный внешний</t>
        </is>
      </c>
      <c r="H81" s="9" t="inlineStr">
        <is>
          <t>Внешний канал А</t>
        </is>
      </c>
      <c r="I81" s="9" t="inlineStr">
        <is>
          <t>Размещение А-1</t>
        </is>
      </c>
      <c r="J81" s="9" t="inlineStr">
        <is>
          <t>КАС017</t>
        </is>
      </c>
      <c r="K81" s="20" t="n">
        <v>46279.75</v>
      </c>
      <c r="L81" s="9" t="n">
        <v>2</v>
      </c>
      <c r="M81" s="15" t="n">
        <v>1</v>
      </c>
      <c r="N81" s="16" t="n">
        <v>6490</v>
      </c>
    </row>
    <row r="82">
      <c r="A82" s="9" t="inlineStr">
        <is>
          <t>ЗАК012</t>
        </is>
      </c>
      <c r="B82" s="9" t="inlineStr">
        <is>
          <t>ПОЛ011</t>
        </is>
      </c>
      <c r="C82" s="20" t="n">
        <v>46293.75</v>
      </c>
      <c r="D82" s="16" t="n">
        <v>8950</v>
      </c>
      <c r="E82" s="9" t="n">
        <v>2</v>
      </c>
      <c r="F82" s="9" t="inlineStr">
        <is>
          <t>первое касание</t>
        </is>
      </c>
      <c r="G82" s="9" t="inlineStr">
        <is>
          <t>собственный</t>
        </is>
      </c>
      <c r="H82" s="9" t="inlineStr">
        <is>
          <t>Основной канал</t>
        </is>
      </c>
      <c r="I82" s="9" t="inlineStr">
        <is>
          <t>Нативный пост</t>
        </is>
      </c>
      <c r="J82" s="9" t="inlineStr">
        <is>
          <t>КАС018</t>
        </is>
      </c>
      <c r="K82" s="20" t="n">
        <v>46292.5</v>
      </c>
      <c r="L82" s="9" t="n">
        <v>1.25</v>
      </c>
      <c r="M82" s="15" t="n">
        <v>1</v>
      </c>
      <c r="N82" s="16" t="n">
        <v>8950</v>
      </c>
    </row>
    <row r="83">
      <c r="A83" s="9" t="inlineStr">
        <is>
          <t>ЗАК012</t>
        </is>
      </c>
      <c r="B83" s="9" t="inlineStr">
        <is>
          <t>ПОЛ011</t>
        </is>
      </c>
      <c r="C83" s="20" t="n">
        <v>46293.75</v>
      </c>
      <c r="D83" s="16" t="n">
        <v>8950</v>
      </c>
      <c r="E83" s="9" t="n">
        <v>2</v>
      </c>
      <c r="F83" s="9" t="inlineStr">
        <is>
          <t>последнее касание</t>
        </is>
      </c>
      <c r="G83" s="9" t="inlineStr">
        <is>
          <t>собственный</t>
        </is>
      </c>
      <c r="H83" s="9" t="inlineStr">
        <is>
          <t>Основной канал</t>
        </is>
      </c>
      <c r="I83" s="9" t="inlineStr">
        <is>
          <t>Нативный пост</t>
        </is>
      </c>
      <c r="J83" s="9" t="inlineStr">
        <is>
          <t>КАС018</t>
        </is>
      </c>
      <c r="K83" s="20" t="n">
        <v>46292.5</v>
      </c>
      <c r="L83" s="9" t="n">
        <v>1.25</v>
      </c>
      <c r="M83" s="15" t="n">
        <v>1</v>
      </c>
      <c r="N83" s="16" t="n">
        <v>8950</v>
      </c>
    </row>
    <row r="84">
      <c r="A84" s="9" t="inlineStr">
        <is>
          <t>ЗАК012</t>
        </is>
      </c>
      <c r="B84" s="9" t="inlineStr">
        <is>
          <t>ПОЛ011</t>
        </is>
      </c>
      <c r="C84" s="20" t="n">
        <v>46293.75</v>
      </c>
      <c r="D84" s="16" t="n">
        <v>8950</v>
      </c>
      <c r="E84" s="9" t="n">
        <v>2</v>
      </c>
      <c r="F84" s="9" t="inlineStr">
        <is>
          <t>линейная модель</t>
        </is>
      </c>
      <c r="G84" s="9" t="inlineStr">
        <is>
          <t>собственный</t>
        </is>
      </c>
      <c r="H84" s="9" t="inlineStr">
        <is>
          <t>Основной канал</t>
        </is>
      </c>
      <c r="I84" s="9" t="inlineStr">
        <is>
          <t>Нативный пост</t>
        </is>
      </c>
      <c r="J84" s="9" t="inlineStr">
        <is>
          <t>КАС018</t>
        </is>
      </c>
      <c r="K84" s="20" t="n">
        <v>46292.5</v>
      </c>
      <c r="L84" s="9" t="n">
        <v>1.25</v>
      </c>
      <c r="M84" s="15" t="n">
        <v>1</v>
      </c>
      <c r="N84" s="16" t="n">
        <v>8950</v>
      </c>
    </row>
    <row r="85">
      <c r="A85" s="9" t="inlineStr">
        <is>
          <t>ЗАК012</t>
        </is>
      </c>
      <c r="B85" s="9" t="inlineStr">
        <is>
          <t>ПОЛ011</t>
        </is>
      </c>
      <c r="C85" s="20" t="n">
        <v>46293.75</v>
      </c>
      <c r="D85" s="16" t="n">
        <v>8950</v>
      </c>
      <c r="E85" s="9" t="n">
        <v>2</v>
      </c>
      <c r="F85" s="9" t="inlineStr">
        <is>
          <t>затухание по времени</t>
        </is>
      </c>
      <c r="G85" s="9" t="inlineStr">
        <is>
          <t>собственный</t>
        </is>
      </c>
      <c r="H85" s="9" t="inlineStr">
        <is>
          <t>Основной канал</t>
        </is>
      </c>
      <c r="I85" s="9" t="inlineStr">
        <is>
          <t>Нативный пост</t>
        </is>
      </c>
      <c r="J85" s="9" t="inlineStr">
        <is>
          <t>КАС018</t>
        </is>
      </c>
      <c r="K85" s="20" t="n">
        <v>46292.5</v>
      </c>
      <c r="L85" s="9" t="n">
        <v>1.25</v>
      </c>
      <c r="M85" s="15" t="n">
        <v>1</v>
      </c>
      <c r="N85" s="16" t="n">
        <v>8950</v>
      </c>
    </row>
    <row r="86">
      <c r="A86" s="9" t="inlineStr">
        <is>
          <t>ЗАК012</t>
        </is>
      </c>
      <c r="B86" s="9" t="inlineStr">
        <is>
          <t>ПОЛ011</t>
        </is>
      </c>
      <c r="C86" s="20" t="n">
        <v>46293.75</v>
      </c>
      <c r="D86" s="16" t="n">
        <v>8950</v>
      </c>
      <c r="E86" s="9" t="n">
        <v>2</v>
      </c>
      <c r="F86" s="9" t="inlineStr">
        <is>
          <t>позиционная модель</t>
        </is>
      </c>
      <c r="G86" s="9" t="inlineStr">
        <is>
          <t>собственный</t>
        </is>
      </c>
      <c r="H86" s="9" t="inlineStr">
        <is>
          <t>Основной канал</t>
        </is>
      </c>
      <c r="I86" s="9" t="inlineStr">
        <is>
          <t>Нативный пост</t>
        </is>
      </c>
      <c r="J86" s="9" t="inlineStr">
        <is>
          <t>КАС018</t>
        </is>
      </c>
      <c r="K86" s="20" t="n">
        <v>46292.5</v>
      </c>
      <c r="L86" s="9" t="n">
        <v>1.25</v>
      </c>
      <c r="M86" s="15" t="n">
        <v>1</v>
      </c>
      <c r="N86" s="16" t="n">
        <v>8950</v>
      </c>
    </row>
    <row r="87">
      <c r="A87" s="9" t="inlineStr">
        <is>
          <t>ЗАК013</t>
        </is>
      </c>
      <c r="B87" s="9" t="inlineStr">
        <is>
          <t>ПОЛ011</t>
        </is>
      </c>
      <c r="C87" s="20" t="n">
        <v>46307.75</v>
      </c>
      <c r="D87" s="16" t="n">
        <v>14950</v>
      </c>
      <c r="E87" s="9" t="n">
        <v>3</v>
      </c>
      <c r="F87" s="9" t="inlineStr">
        <is>
          <t>первое касание</t>
        </is>
      </c>
      <c r="G87" s="9" t="inlineStr">
        <is>
          <t>повторная без свежего касания</t>
        </is>
      </c>
      <c r="H87" s="9" t="inlineStr">
        <is>
          <t>Повторная покупка</t>
        </is>
      </c>
      <c r="I87" s="9" t="inlineStr">
        <is>
          <t>Нет свежего касания</t>
        </is>
      </c>
      <c r="J87" s="9" t="inlineStr">
        <is>
          <t>НЕТ</t>
        </is>
      </c>
      <c r="K87" s="9" t="n"/>
      <c r="L87" s="9" t="n"/>
      <c r="M87" s="15" t="n">
        <v>1</v>
      </c>
      <c r="N87" s="16" t="n">
        <v>14950</v>
      </c>
    </row>
    <row r="88">
      <c r="A88" s="9" t="inlineStr">
        <is>
          <t>ЗАК013</t>
        </is>
      </c>
      <c r="B88" s="9" t="inlineStr">
        <is>
          <t>ПОЛ011</t>
        </is>
      </c>
      <c r="C88" s="20" t="n">
        <v>46307.75</v>
      </c>
      <c r="D88" s="16" t="n">
        <v>14950</v>
      </c>
      <c r="E88" s="9" t="n">
        <v>3</v>
      </c>
      <c r="F88" s="9" t="inlineStr">
        <is>
          <t>последнее касание</t>
        </is>
      </c>
      <c r="G88" s="9" t="inlineStr">
        <is>
          <t>повторная без свежего касания</t>
        </is>
      </c>
      <c r="H88" s="9" t="inlineStr">
        <is>
          <t>Повторная покупка</t>
        </is>
      </c>
      <c r="I88" s="9" t="inlineStr">
        <is>
          <t>Нет свежего касания</t>
        </is>
      </c>
      <c r="J88" s="9" t="inlineStr">
        <is>
          <t>НЕТ</t>
        </is>
      </c>
      <c r="K88" s="9" t="n"/>
      <c r="L88" s="9" t="n"/>
      <c r="M88" s="15" t="n">
        <v>1</v>
      </c>
      <c r="N88" s="16" t="n">
        <v>14950</v>
      </c>
    </row>
    <row r="89">
      <c r="A89" s="9" t="inlineStr">
        <is>
          <t>ЗАК013</t>
        </is>
      </c>
      <c r="B89" s="9" t="inlineStr">
        <is>
          <t>ПОЛ011</t>
        </is>
      </c>
      <c r="C89" s="20" t="n">
        <v>46307.75</v>
      </c>
      <c r="D89" s="16" t="n">
        <v>14950</v>
      </c>
      <c r="E89" s="9" t="n">
        <v>3</v>
      </c>
      <c r="F89" s="9" t="inlineStr">
        <is>
          <t>линейная модель</t>
        </is>
      </c>
      <c r="G89" s="9" t="inlineStr">
        <is>
          <t>повторная без свежего касания</t>
        </is>
      </c>
      <c r="H89" s="9" t="inlineStr">
        <is>
          <t>Повторная покупка</t>
        </is>
      </c>
      <c r="I89" s="9" t="inlineStr">
        <is>
          <t>Нет свежего касания</t>
        </is>
      </c>
      <c r="J89" s="9" t="inlineStr">
        <is>
          <t>НЕТ</t>
        </is>
      </c>
      <c r="K89" s="9" t="n"/>
      <c r="L89" s="9" t="n"/>
      <c r="M89" s="15" t="n">
        <v>1</v>
      </c>
      <c r="N89" s="16" t="n">
        <v>14950</v>
      </c>
    </row>
    <row r="90">
      <c r="A90" s="9" t="inlineStr">
        <is>
          <t>ЗАК013</t>
        </is>
      </c>
      <c r="B90" s="9" t="inlineStr">
        <is>
          <t>ПОЛ011</t>
        </is>
      </c>
      <c r="C90" s="20" t="n">
        <v>46307.75</v>
      </c>
      <c r="D90" s="16" t="n">
        <v>14950</v>
      </c>
      <c r="E90" s="9" t="n">
        <v>3</v>
      </c>
      <c r="F90" s="9" t="inlineStr">
        <is>
          <t>затухание по времени</t>
        </is>
      </c>
      <c r="G90" s="9" t="inlineStr">
        <is>
          <t>повторная без свежего касания</t>
        </is>
      </c>
      <c r="H90" s="9" t="inlineStr">
        <is>
          <t>Повторная покупка</t>
        </is>
      </c>
      <c r="I90" s="9" t="inlineStr">
        <is>
          <t>Нет свежего касания</t>
        </is>
      </c>
      <c r="J90" s="9" t="inlineStr">
        <is>
          <t>НЕТ</t>
        </is>
      </c>
      <c r="K90" s="9" t="n"/>
      <c r="L90" s="9" t="n"/>
      <c r="M90" s="15" t="n">
        <v>1</v>
      </c>
      <c r="N90" s="16" t="n">
        <v>14950</v>
      </c>
    </row>
    <row r="91">
      <c r="A91" s="9" t="inlineStr">
        <is>
          <t>ЗАК013</t>
        </is>
      </c>
      <c r="B91" s="9" t="inlineStr">
        <is>
          <t>ПОЛ011</t>
        </is>
      </c>
      <c r="C91" s="20" t="n">
        <v>46307.75</v>
      </c>
      <c r="D91" s="16" t="n">
        <v>14950</v>
      </c>
      <c r="E91" s="9" t="n">
        <v>3</v>
      </c>
      <c r="F91" s="9" t="inlineStr">
        <is>
          <t>позиционная модель</t>
        </is>
      </c>
      <c r="G91" s="9" t="inlineStr">
        <is>
          <t>повторная без свежего касания</t>
        </is>
      </c>
      <c r="H91" s="9" t="inlineStr">
        <is>
          <t>Повторная покупка</t>
        </is>
      </c>
      <c r="I91" s="9" t="inlineStr">
        <is>
          <t>Нет свежего касания</t>
        </is>
      </c>
      <c r="J91" s="9" t="inlineStr">
        <is>
          <t>НЕТ</t>
        </is>
      </c>
      <c r="K91" s="9" t="n"/>
      <c r="L91" s="9" t="n"/>
      <c r="M91" s="15" t="n">
        <v>1</v>
      </c>
      <c r="N91" s="16" t="n">
        <v>14950</v>
      </c>
    </row>
  </sheetData>
  <autoFilter ref="A1:N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pane ySplit="1" topLeftCell="A2" activePane="bottomLeft" state="frozen"/>
      <selection pane="bottomLeft" activeCell="A1" sqref="A1"/>
    </sheetView>
  </sheetViews>
  <sheetFormatPr baseColWidth="8" defaultRowHeight="15"/>
  <cols>
    <col width="22" customWidth="1" min="1" max="1"/>
    <col width="31" customWidth="1" min="2" max="2"/>
    <col width="22" customWidth="1" min="3" max="3"/>
    <col width="26" customWidth="1" min="4" max="4"/>
    <col width="20" customWidth="1" min="5" max="5"/>
    <col width="17" customWidth="1" min="6" max="6"/>
  </cols>
  <sheetData>
    <row r="1">
      <c r="A1" s="12" t="inlineStr">
        <is>
          <t>модель</t>
        </is>
      </c>
      <c r="B1" s="12" t="inlineStr">
        <is>
          <t>тип_источника</t>
        </is>
      </c>
      <c r="C1" s="12" t="inlineStr">
        <is>
          <t>канал</t>
        </is>
      </c>
      <c r="D1" s="12" t="inlineStr">
        <is>
          <t>атрибутированная_выручка</t>
        </is>
      </c>
      <c r="E1" s="12" t="inlineStr">
        <is>
          <t>сумма_весов</t>
        </is>
      </c>
      <c r="F1" s="12" t="inlineStr">
        <is>
          <t>заказов_с_долей</t>
        </is>
      </c>
    </row>
    <row r="2">
      <c r="A2" s="9" t="inlineStr">
        <is>
          <t>затухание по времени</t>
        </is>
      </c>
      <c r="B2" s="9" t="inlineStr">
        <is>
          <t>неизвестный</t>
        </is>
      </c>
      <c r="C2" s="9" t="inlineStr">
        <is>
          <t>Неизвестный источник</t>
        </is>
      </c>
      <c r="D2" s="16" t="n">
        <v>8950</v>
      </c>
      <c r="E2" s="9" t="n">
        <v>1</v>
      </c>
      <c r="F2" s="9" t="n">
        <v>1</v>
      </c>
    </row>
    <row r="3">
      <c r="A3" s="9" t="inlineStr">
        <is>
          <t>затухание по времени</t>
        </is>
      </c>
      <c r="B3" s="9" t="inlineStr">
        <is>
          <t>органический</t>
        </is>
      </c>
      <c r="C3" s="9" t="inlineStr">
        <is>
          <t>Прямой вход</t>
        </is>
      </c>
      <c r="D3" s="16" t="n">
        <v>6490</v>
      </c>
      <c r="E3" s="9" t="n">
        <v>1</v>
      </c>
      <c r="F3" s="9" t="n">
        <v>1</v>
      </c>
    </row>
    <row r="4">
      <c r="A4" s="9" t="inlineStr">
        <is>
          <t>затухание по времени</t>
        </is>
      </c>
      <c r="B4" s="9" t="inlineStr">
        <is>
          <t>платный внешний</t>
        </is>
      </c>
      <c r="C4" s="9" t="inlineStr">
        <is>
          <t>Внешний канал А</t>
        </is>
      </c>
      <c r="D4" s="16" t="n">
        <v>18183.99114117876</v>
      </c>
      <c r="E4" s="9" t="n">
        <v>2.289134258112585</v>
      </c>
      <c r="F4" s="9" t="n">
        <v>4</v>
      </c>
    </row>
    <row r="5">
      <c r="A5" s="9" t="inlineStr">
        <is>
          <t>затухание по времени</t>
        </is>
      </c>
      <c r="B5" s="9" t="inlineStr">
        <is>
          <t>платный внешний</t>
        </is>
      </c>
      <c r="C5" s="9" t="inlineStr">
        <is>
          <t>Внешний канал Б</t>
        </is>
      </c>
      <c r="D5" s="16" t="n">
        <v>29750.781521048</v>
      </c>
      <c r="E5" s="9" t="n">
        <v>2.645806448123427</v>
      </c>
      <c r="F5" s="9" t="n">
        <v>4</v>
      </c>
    </row>
    <row r="6">
      <c r="A6" s="9" t="inlineStr">
        <is>
          <t>затухание по времени</t>
        </is>
      </c>
      <c r="B6" s="9" t="inlineStr">
        <is>
          <t>повторная без свежего касания</t>
        </is>
      </c>
      <c r="C6" s="9" t="inlineStr">
        <is>
          <t>Повторная покупка</t>
        </is>
      </c>
      <c r="D6" s="16" t="n">
        <v>14950</v>
      </c>
      <c r="E6" s="9" t="n">
        <v>1</v>
      </c>
      <c r="F6" s="9" t="n">
        <v>1</v>
      </c>
    </row>
    <row r="7">
      <c r="A7" s="9" t="inlineStr">
        <is>
          <t>затухание по времени</t>
        </is>
      </c>
      <c r="B7" s="9" t="inlineStr">
        <is>
          <t>собственный</t>
        </is>
      </c>
      <c r="C7" s="9" t="inlineStr">
        <is>
          <t>Основной канал</t>
        </is>
      </c>
      <c r="D7" s="16" t="n">
        <v>55595.22733777324</v>
      </c>
      <c r="E7" s="9" t="n">
        <v>5.065059293763988</v>
      </c>
      <c r="F7" s="9" t="n">
        <v>6</v>
      </c>
    </row>
    <row r="8">
      <c r="A8" s="9" t="inlineStr">
        <is>
          <t>линейная модель</t>
        </is>
      </c>
      <c r="B8" s="9" t="inlineStr">
        <is>
          <t>неизвестный</t>
        </is>
      </c>
      <c r="C8" s="9" t="inlineStr">
        <is>
          <t>Неизвестный источник</t>
        </is>
      </c>
      <c r="D8" s="16" t="n">
        <v>8950</v>
      </c>
      <c r="E8" s="9" t="n">
        <v>1</v>
      </c>
      <c r="F8" s="9" t="n">
        <v>1</v>
      </c>
    </row>
    <row r="9">
      <c r="A9" s="9" t="inlineStr">
        <is>
          <t>линейная модель</t>
        </is>
      </c>
      <c r="B9" s="9" t="inlineStr">
        <is>
          <t>органический</t>
        </is>
      </c>
      <c r="C9" s="9" t="inlineStr">
        <is>
          <t>Прямой вход</t>
        </is>
      </c>
      <c r="D9" s="16" t="n">
        <v>6490</v>
      </c>
      <c r="E9" s="9" t="n">
        <v>1</v>
      </c>
      <c r="F9" s="9" t="n">
        <v>1</v>
      </c>
    </row>
    <row r="10">
      <c r="A10" s="9" t="inlineStr">
        <is>
          <t>линейная модель</t>
        </is>
      </c>
      <c r="B10" s="9" t="inlineStr">
        <is>
          <t>платный внешний</t>
        </is>
      </c>
      <c r="C10" s="9" t="inlineStr">
        <is>
          <t>Внешний канал А</t>
        </is>
      </c>
      <c r="D10" s="16" t="n">
        <v>21723.33333333333</v>
      </c>
      <c r="E10" s="9" t="n">
        <v>2.666666666666667</v>
      </c>
      <c r="F10" s="9" t="n">
        <v>4</v>
      </c>
    </row>
    <row r="11">
      <c r="A11" s="9" t="inlineStr">
        <is>
          <t>линейная модель</t>
        </is>
      </c>
      <c r="B11" s="9" t="inlineStr">
        <is>
          <t>платный внешний</t>
        </is>
      </c>
      <c r="C11" s="9" t="inlineStr">
        <is>
          <t>Внешний канал Б</t>
        </is>
      </c>
      <c r="D11" s="16" t="n">
        <v>32215</v>
      </c>
      <c r="E11" s="9" t="n">
        <v>2.833333333333333</v>
      </c>
      <c r="F11" s="9" t="n">
        <v>4</v>
      </c>
    </row>
    <row r="12">
      <c r="A12" s="9" t="inlineStr">
        <is>
          <t>линейная модель</t>
        </is>
      </c>
      <c r="B12" s="9" t="inlineStr">
        <is>
          <t>повторная без свежего касания</t>
        </is>
      </c>
      <c r="C12" s="9" t="inlineStr">
        <is>
          <t>Повторная покупка</t>
        </is>
      </c>
      <c r="D12" s="16" t="n">
        <v>14950</v>
      </c>
      <c r="E12" s="9" t="n">
        <v>1</v>
      </c>
      <c r="F12" s="9" t="n">
        <v>1</v>
      </c>
    </row>
    <row r="13">
      <c r="A13" s="9" t="inlineStr">
        <is>
          <t>линейная модель</t>
        </is>
      </c>
      <c r="B13" s="9" t="inlineStr">
        <is>
          <t>собственный</t>
        </is>
      </c>
      <c r="C13" s="9" t="inlineStr">
        <is>
          <t>Основной канал</t>
        </is>
      </c>
      <c r="D13" s="16" t="n">
        <v>49591.66666666666</v>
      </c>
      <c r="E13" s="9" t="n">
        <v>4.5</v>
      </c>
      <c r="F13" s="9" t="n">
        <v>6</v>
      </c>
    </row>
    <row r="14">
      <c r="A14" s="9" t="inlineStr">
        <is>
          <t>первое касание</t>
        </is>
      </c>
      <c r="B14" s="9" t="inlineStr">
        <is>
          <t>неизвестный</t>
        </is>
      </c>
      <c r="C14" s="9" t="inlineStr">
        <is>
          <t>Неизвестный источник</t>
        </is>
      </c>
      <c r="D14" s="16" t="n">
        <v>8950</v>
      </c>
      <c r="E14" s="9" t="n">
        <v>1</v>
      </c>
      <c r="F14" s="9" t="n">
        <v>1</v>
      </c>
    </row>
    <row r="15">
      <c r="A15" s="9" t="inlineStr">
        <is>
          <t>первое касание</t>
        </is>
      </c>
      <c r="B15" s="9" t="inlineStr">
        <is>
          <t>органический</t>
        </is>
      </c>
      <c r="C15" s="9" t="inlineStr">
        <is>
          <t>Прямой вход</t>
        </is>
      </c>
      <c r="D15" s="16" t="n">
        <v>6490</v>
      </c>
      <c r="E15" s="9" t="n">
        <v>1</v>
      </c>
      <c r="F15" s="9" t="n">
        <v>1</v>
      </c>
    </row>
    <row r="16">
      <c r="A16" s="9" t="inlineStr">
        <is>
          <t>первое касание</t>
        </is>
      </c>
      <c r="B16" s="9" t="inlineStr">
        <is>
          <t>платный внешний</t>
        </is>
      </c>
      <c r="C16" s="9" t="inlineStr">
        <is>
          <t>Внешний канал А</t>
        </is>
      </c>
      <c r="D16" s="16" t="n">
        <v>34290</v>
      </c>
      <c r="E16" s="9" t="n">
        <v>4</v>
      </c>
      <c r="F16" s="9" t="n">
        <v>4</v>
      </c>
    </row>
    <row r="17">
      <c r="A17" s="9" t="inlineStr">
        <is>
          <t>первое касание</t>
        </is>
      </c>
      <c r="B17" s="9" t="inlineStr">
        <is>
          <t>платный внешний</t>
        </is>
      </c>
      <c r="C17" s="9" t="inlineStr">
        <is>
          <t>Внешний канал Б</t>
        </is>
      </c>
      <c r="D17" s="16" t="n">
        <v>36390</v>
      </c>
      <c r="E17" s="9" t="n">
        <v>3</v>
      </c>
      <c r="F17" s="9" t="n">
        <v>4</v>
      </c>
    </row>
    <row r="18">
      <c r="A18" s="9" t="inlineStr">
        <is>
          <t>первое касание</t>
        </is>
      </c>
      <c r="B18" s="9" t="inlineStr">
        <is>
          <t>повторная без свежего касания</t>
        </is>
      </c>
      <c r="C18" s="9" t="inlineStr">
        <is>
          <t>Повторная покупка</t>
        </is>
      </c>
      <c r="D18" s="16" t="n">
        <v>14950</v>
      </c>
      <c r="E18" s="9" t="n">
        <v>1</v>
      </c>
      <c r="F18" s="9" t="n">
        <v>1</v>
      </c>
    </row>
    <row r="19">
      <c r="A19" s="9" t="inlineStr">
        <is>
          <t>первое касание</t>
        </is>
      </c>
      <c r="B19" s="9" t="inlineStr">
        <is>
          <t>собственный</t>
        </is>
      </c>
      <c r="C19" s="9" t="inlineStr">
        <is>
          <t>Основной канал</t>
        </is>
      </c>
      <c r="D19" s="16" t="n">
        <v>32850</v>
      </c>
      <c r="E19" s="9" t="n">
        <v>3</v>
      </c>
      <c r="F19" s="9" t="n">
        <v>6</v>
      </c>
    </row>
    <row r="20">
      <c r="A20" s="9" t="inlineStr">
        <is>
          <t>позиционная модель</t>
        </is>
      </c>
      <c r="B20" s="9" t="inlineStr">
        <is>
          <t>неизвестный</t>
        </is>
      </c>
      <c r="C20" s="9" t="inlineStr">
        <is>
          <t>Неизвестный источник</t>
        </is>
      </c>
      <c r="D20" s="16" t="n">
        <v>8950</v>
      </c>
      <c r="E20" s="9" t="n">
        <v>1</v>
      </c>
      <c r="F20" s="9" t="n">
        <v>1</v>
      </c>
    </row>
    <row r="21">
      <c r="A21" s="9" t="inlineStr">
        <is>
          <t>позиционная модель</t>
        </is>
      </c>
      <c r="B21" s="9" t="inlineStr">
        <is>
          <t>органический</t>
        </is>
      </c>
      <c r="C21" s="9" t="inlineStr">
        <is>
          <t>Прямой вход</t>
        </is>
      </c>
      <c r="D21" s="16" t="n">
        <v>6490</v>
      </c>
      <c r="E21" s="9" t="n">
        <v>1</v>
      </c>
      <c r="F21" s="9" t="n">
        <v>1</v>
      </c>
    </row>
    <row r="22">
      <c r="A22" s="9" t="inlineStr">
        <is>
          <t>позиционная модель</t>
        </is>
      </c>
      <c r="B22" s="9" t="inlineStr">
        <is>
          <t>платный внешний</t>
        </is>
      </c>
      <c r="C22" s="9" t="inlineStr">
        <is>
          <t>Внешний канал А</t>
        </is>
      </c>
      <c r="D22" s="16" t="n">
        <v>22980</v>
      </c>
      <c r="E22" s="9" t="n">
        <v>2.8</v>
      </c>
      <c r="F22" s="9" t="n">
        <v>4</v>
      </c>
    </row>
    <row r="23">
      <c r="A23" s="9" t="inlineStr">
        <is>
          <t>позиционная модель</t>
        </is>
      </c>
      <c r="B23" s="9" t="inlineStr">
        <is>
          <t>платный внешний</t>
        </is>
      </c>
      <c r="C23" s="9" t="inlineStr">
        <is>
          <t>Внешний канал Б</t>
        </is>
      </c>
      <c r="D23" s="16" t="n">
        <v>30895</v>
      </c>
      <c r="E23" s="9" t="n">
        <v>2.7</v>
      </c>
      <c r="F23" s="9" t="n">
        <v>4</v>
      </c>
    </row>
    <row r="24">
      <c r="A24" s="9" t="inlineStr">
        <is>
          <t>позиционная модель</t>
        </is>
      </c>
      <c r="B24" s="9" t="inlineStr">
        <is>
          <t>повторная без свежего касания</t>
        </is>
      </c>
      <c r="C24" s="9" t="inlineStr">
        <is>
          <t>Повторная покупка</t>
        </is>
      </c>
      <c r="D24" s="16" t="n">
        <v>14950</v>
      </c>
      <c r="E24" s="9" t="n">
        <v>1</v>
      </c>
      <c r="F24" s="9" t="n">
        <v>1</v>
      </c>
    </row>
    <row r="25">
      <c r="A25" s="9" t="inlineStr">
        <is>
          <t>позиционная модель</t>
        </is>
      </c>
      <c r="B25" s="9" t="inlineStr">
        <is>
          <t>собственный</t>
        </is>
      </c>
      <c r="C25" s="9" t="inlineStr">
        <is>
          <t>Основной канал</t>
        </is>
      </c>
      <c r="D25" s="16" t="n">
        <v>49655</v>
      </c>
      <c r="E25" s="9" t="n">
        <v>4.5</v>
      </c>
      <c r="F25" s="9" t="n">
        <v>6</v>
      </c>
    </row>
    <row r="26">
      <c r="A26" s="9" t="inlineStr">
        <is>
          <t>последнее касание</t>
        </is>
      </c>
      <c r="B26" s="9" t="inlineStr">
        <is>
          <t>неизвестный</t>
        </is>
      </c>
      <c r="C26" s="9" t="inlineStr">
        <is>
          <t>Неизвестный источник</t>
        </is>
      </c>
      <c r="D26" s="16" t="n">
        <v>8950</v>
      </c>
      <c r="E26" s="9" t="n">
        <v>1</v>
      </c>
      <c r="F26" s="9" t="n">
        <v>1</v>
      </c>
    </row>
    <row r="27">
      <c r="A27" s="9" t="inlineStr">
        <is>
          <t>последнее касание</t>
        </is>
      </c>
      <c r="B27" s="9" t="inlineStr">
        <is>
          <t>органический</t>
        </is>
      </c>
      <c r="C27" s="9" t="inlineStr">
        <is>
          <t>Прямой вход</t>
        </is>
      </c>
      <c r="D27" s="16" t="n">
        <v>6490</v>
      </c>
      <c r="E27" s="9" t="n">
        <v>1</v>
      </c>
      <c r="F27" s="9" t="n">
        <v>1</v>
      </c>
    </row>
    <row r="28">
      <c r="A28" s="9" t="inlineStr">
        <is>
          <t>последнее касание</t>
        </is>
      </c>
      <c r="B28" s="9" t="inlineStr">
        <is>
          <t>платный внешний</t>
        </is>
      </c>
      <c r="C28" s="9" t="inlineStr">
        <is>
          <t>Внешний канал А</t>
        </is>
      </c>
      <c r="D28" s="16" t="n">
        <v>15440</v>
      </c>
      <c r="E28" s="9" t="n">
        <v>2</v>
      </c>
      <c r="F28" s="9" t="n">
        <v>4</v>
      </c>
    </row>
    <row r="29">
      <c r="A29" s="9" t="inlineStr">
        <is>
          <t>последнее касание</t>
        </is>
      </c>
      <c r="B29" s="9" t="inlineStr">
        <is>
          <t>платный внешний</t>
        </is>
      </c>
      <c r="C29" s="9" t="inlineStr">
        <is>
          <t>Внешний канал Б</t>
        </is>
      </c>
      <c r="D29" s="16" t="n">
        <v>21440</v>
      </c>
      <c r="E29" s="9" t="n">
        <v>2</v>
      </c>
      <c r="F29" s="9" t="n">
        <v>4</v>
      </c>
    </row>
    <row r="30">
      <c r="A30" s="9" t="inlineStr">
        <is>
          <t>последнее касание</t>
        </is>
      </c>
      <c r="B30" s="9" t="inlineStr">
        <is>
          <t>повторная без свежего касания</t>
        </is>
      </c>
      <c r="C30" s="9" t="inlineStr">
        <is>
          <t>Повторная покупка</t>
        </is>
      </c>
      <c r="D30" s="16" t="n">
        <v>14950</v>
      </c>
      <c r="E30" s="9" t="n">
        <v>1</v>
      </c>
      <c r="F30" s="9" t="n">
        <v>1</v>
      </c>
    </row>
    <row r="31">
      <c r="A31" s="9" t="inlineStr">
        <is>
          <t>последнее касание</t>
        </is>
      </c>
      <c r="B31" s="9" t="inlineStr">
        <is>
          <t>собственный</t>
        </is>
      </c>
      <c r="C31" s="9" t="inlineStr">
        <is>
          <t>Основной канал</t>
        </is>
      </c>
      <c r="D31" s="16" t="n">
        <v>66650</v>
      </c>
      <c r="E31" s="9" t="n">
        <v>6</v>
      </c>
      <c r="F31" s="9" t="n">
        <v>6</v>
      </c>
    </row>
  </sheetData>
  <autoFilter ref="A1:F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21" customWidth="1" min="3" max="3"/>
    <col width="14" customWidth="1" min="4" max="4"/>
    <col width="15" customWidth="1" min="5" max="5"/>
    <col width="39" customWidth="1" min="6" max="6"/>
    <col width="31" customWidth="1" min="7" max="7"/>
    <col width="19" customWidth="1" min="8" max="8"/>
    <col width="11" customWidth="1" min="9" max="9"/>
    <col width="26" customWidth="1" min="10" max="10"/>
  </cols>
  <sheetData>
    <row r="1">
      <c r="A1" s="12" t="inlineStr">
        <is>
          <t>заказ</t>
        </is>
      </c>
      <c r="B1" s="12" t="inlineStr">
        <is>
          <t>пользователь</t>
        </is>
      </c>
      <c r="C1" s="12" t="inlineStr">
        <is>
          <t>время_оплаты</t>
        </is>
      </c>
      <c r="D1" s="12" t="inlineStr">
        <is>
          <t>сумма_оплаты</t>
        </is>
      </c>
      <c r="E1" s="12" t="inlineStr">
        <is>
          <t>номер_покупки</t>
        </is>
      </c>
      <c r="F1" s="12" t="inlineStr">
        <is>
          <t>сценарий</t>
        </is>
      </c>
      <c r="G1" s="12" t="inlineStr">
        <is>
          <t>тип_источника</t>
        </is>
      </c>
      <c r="H1" s="12" t="inlineStr">
        <is>
          <t>канал</t>
        </is>
      </c>
      <c r="I1" s="12" t="inlineStr">
        <is>
          <t>вес</t>
        </is>
      </c>
      <c r="J1" s="12" t="inlineStr">
        <is>
          <t>атрибутированная_выручка</t>
        </is>
      </c>
    </row>
    <row r="2">
      <c r="A2" s="9" t="inlineStr">
        <is>
          <t>ЗАК012</t>
        </is>
      </c>
      <c r="B2" s="9" t="inlineStr">
        <is>
          <t>ПОЛ011</t>
        </is>
      </c>
      <c r="C2" s="20" t="n">
        <v>46293.75</v>
      </c>
      <c r="D2" s="16" t="n">
        <v>8950</v>
      </c>
      <c r="E2" s="9" t="n">
        <v>2</v>
      </c>
      <c r="F2" s="9" t="inlineStr">
        <is>
          <t>повторная покупка со свежим касанием</t>
        </is>
      </c>
      <c r="G2" s="9" t="inlineStr">
        <is>
          <t>собственный</t>
        </is>
      </c>
      <c r="H2" s="9" t="inlineStr">
        <is>
          <t>Основной канал</t>
        </is>
      </c>
      <c r="I2" s="15" t="n">
        <v>1</v>
      </c>
      <c r="J2" s="16" t="n">
        <v>8950</v>
      </c>
    </row>
    <row r="3">
      <c r="A3" s="9" t="inlineStr">
        <is>
          <t>ЗАК013</t>
        </is>
      </c>
      <c r="B3" s="9" t="inlineStr">
        <is>
          <t>ПОЛ011</t>
        </is>
      </c>
      <c r="C3" s="20" t="n">
        <v>46307.75</v>
      </c>
      <c r="D3" s="16" t="n">
        <v>14950</v>
      </c>
      <c r="E3" s="9" t="n">
        <v>3</v>
      </c>
      <c r="F3" s="9" t="inlineStr">
        <is>
          <t>повторная покупка без свежего касания</t>
        </is>
      </c>
      <c r="G3" s="9" t="inlineStr">
        <is>
          <t>повторная без свежего касания</t>
        </is>
      </c>
      <c r="H3" s="9" t="inlineStr">
        <is>
          <t>Повторная покупка</t>
        </is>
      </c>
      <c r="I3" s="15" t="n">
        <v>1</v>
      </c>
      <c r="J3" s="16" t="n">
        <v>14950</v>
      </c>
    </row>
  </sheetData>
  <autoFilter ref="A1:J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20" customWidth="1" min="1" max="1"/>
    <col width="41" customWidth="1" min="2" max="2"/>
    <col width="42" customWidth="1" min="3" max="3"/>
  </cols>
  <sheetData>
    <row r="1">
      <c r="A1" s="12" t="inlineStr">
        <is>
          <t>уровень</t>
        </is>
      </c>
      <c r="B1" s="12" t="inlineStr">
        <is>
          <t>объект</t>
        </is>
      </c>
      <c r="C1" s="12" t="inlineStr">
        <is>
          <t>вывод</t>
        </is>
      </c>
    </row>
    <row r="2">
      <c r="A2" s="9" t="inlineStr">
        <is>
          <t>Знаем</t>
        </is>
      </c>
      <c r="B2" s="9" t="inlineStr">
        <is>
          <t>реальные исторические продажи</t>
        </is>
      </c>
      <c r="C2" s="9" t="inlineStr">
        <is>
          <t>628 реконструированных заказов и 5 904 671,67 ₽ выручки перенесены в систему, но к ним нет пользовательских маркетинговых касаний</t>
        </is>
      </c>
    </row>
    <row r="3">
      <c r="A3" s="9" t="inlineStr">
        <is>
          <t>Знаем</t>
        </is>
      </c>
      <c r="B3" s="9" t="inlineStr">
        <is>
          <t>публичные маркетинговые активности</t>
        </is>
      </c>
      <c r="C3" s="9" t="inlineStr">
        <is>
          <t>восстановлены короткие периоды крупных промо 8–9 августа, 22–23 августа, 30 августа–1 сентября и 5–6 сентября</t>
        </is>
      </c>
    </row>
    <row r="4">
      <c r="A4" s="9" t="inlineStr">
        <is>
          <t>Знаем</t>
        </is>
      </c>
      <c r="B4" s="9" t="inlineStr">
        <is>
          <t>архитектура будущего трекинга</t>
        </is>
      </c>
      <c r="C4" s="9" t="inlineStr">
        <is>
          <t>система этапа 4 умеет сохранять канал, размещение, креатив, пользователя, заказ и оплату</t>
        </is>
      </c>
    </row>
    <row r="5">
      <c r="A5" s="9" t="inlineStr">
        <is>
          <t>Оцениваем</t>
        </is>
      </c>
      <c r="B5" s="9" t="inlineStr">
        <is>
          <t>окно 7 дней</t>
        </is>
      </c>
      <c r="C5" s="9" t="inlineStr">
        <is>
          <t>выбрано как практичное правило с учётом коротких промо и нескольких дней прогрева; пользовательский лаг в истории не наблюдаем</t>
        </is>
      </c>
    </row>
    <row r="6">
      <c r="A6" s="9" t="inlineStr">
        <is>
          <t>Оцениваем</t>
        </is>
      </c>
      <c r="B6" s="9" t="inlineStr">
        <is>
          <t>позиционную схему 40–20–40</t>
        </is>
      </c>
      <c r="C6" s="9" t="inlineStr">
        <is>
          <t>это управленческое правило распределения кредита, а не причинная оценка</t>
        </is>
      </c>
    </row>
    <row r="7">
      <c r="A7" s="9" t="inlineStr">
        <is>
          <t>Пока узнать нельзя</t>
        </is>
      </c>
      <c r="B7" s="9" t="inlineStr">
        <is>
          <t>историческая пользовательская атрибуция</t>
        </is>
      </c>
      <c r="C7" s="9" t="inlineStr">
        <is>
          <t>у 628 реальных исторических заказов нет сквозной связи с касаниями; вычислять доли по каналам задним числом нельзя</t>
        </is>
      </c>
    </row>
    <row r="8">
      <c r="A8" s="9" t="inlineStr">
        <is>
          <t>Пока узнать нельзя</t>
        </is>
      </c>
      <c r="B8" s="9" t="inlineStr">
        <is>
          <t>причинный вклад каналов</t>
        </is>
      </c>
      <c r="C8" s="9" t="inlineStr">
        <is>
          <t>атрибуция распределяет случившуюся выручку, но не отвечает, возникла ли она благодаря рекламе</t>
        </is>
      </c>
    </row>
  </sheetData>
  <autoFilter ref="A1:C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showGridLines="0" workbookViewId="0">
      <pane ySplit="1" topLeftCell="A2" activePane="bottomLeft" state="frozen"/>
      <selection pane="bottomLeft" activeCell="A1" sqref="A1"/>
    </sheetView>
  </sheetViews>
  <sheetFormatPr baseColWidth="8" defaultRowHeight="15"/>
  <cols>
    <col width="28" customWidth="1" min="1" max="1"/>
    <col width="21" customWidth="1" min="2" max="2"/>
    <col width="21" customWidth="1" min="3" max="3"/>
    <col width="18" customWidth="1" min="4" max="4"/>
    <col width="19" customWidth="1" min="5" max="5"/>
    <col width="23" customWidth="1" min="6" max="6"/>
    <col width="20" customWidth="1" min="7" max="7"/>
    <col width="19" customWidth="1" min="8" max="8"/>
    <col width="24" customWidth="1" min="9" max="9"/>
    <col width="20" customWidth="1" min="10" max="10"/>
  </cols>
  <sheetData>
    <row r="1">
      <c r="A1" s="12" t="inlineStr">
        <is>
          <t>окно</t>
        </is>
      </c>
      <c r="B1" s="12" t="inlineStr">
        <is>
          <t>событие_с</t>
        </is>
      </c>
      <c r="C1" s="12" t="inlineStr">
        <is>
          <t>событие_по</t>
        </is>
      </c>
      <c r="D1" s="12" t="inlineStr">
        <is>
          <t>длительность_дни</t>
        </is>
      </c>
      <c r="E1" s="12" t="inlineStr">
        <is>
          <t>заказы_в_день_до</t>
        </is>
      </c>
      <c r="F1" s="12" t="inlineStr">
        <is>
          <t>заказы_в_день_событие</t>
        </is>
      </c>
      <c r="G1" s="12" t="inlineStr">
        <is>
          <t>рост_заказов_раз</t>
        </is>
      </c>
      <c r="H1" s="12" t="inlineStr">
        <is>
          <t>выручка_в_день_до</t>
        </is>
      </c>
      <c r="I1" s="12" t="inlineStr">
        <is>
          <t>выручка_в_день_событие</t>
        </is>
      </c>
      <c r="J1" s="12" t="inlineStr">
        <is>
          <t>рост_выручки_раз</t>
        </is>
      </c>
    </row>
    <row r="2">
      <c r="A2" s="9" t="inlineStr">
        <is>
          <t>Финальная распродажа СТАРТ</t>
        </is>
      </c>
      <c r="B2" s="20" t="n">
        <v>46242</v>
      </c>
      <c r="C2" s="20" t="n">
        <v>46243</v>
      </c>
      <c r="D2" s="9" t="n">
        <v>2</v>
      </c>
      <c r="E2" s="9" t="n">
        <v>6</v>
      </c>
      <c r="F2" s="9" t="n">
        <v>51.5</v>
      </c>
      <c r="G2" s="9" t="n">
        <v>8.583333333333334</v>
      </c>
      <c r="H2" s="16" t="n">
        <v>61516.66666666666</v>
      </c>
      <c r="I2" s="16" t="n">
        <v>399553.335</v>
      </c>
      <c r="J2" s="16" t="n">
        <v>6.495042021132486</v>
      </c>
    </row>
    <row r="3">
      <c r="A3" s="9" t="inlineStr">
        <is>
          <t>Запуск линейки ПРО</t>
        </is>
      </c>
      <c r="B3" s="20" t="n">
        <v>46256</v>
      </c>
      <c r="C3" s="20" t="n">
        <v>46257</v>
      </c>
      <c r="D3" s="9" t="n">
        <v>2</v>
      </c>
      <c r="E3" s="9" t="n">
        <v>4.666666666666667</v>
      </c>
      <c r="F3" s="9" t="n">
        <v>32.5</v>
      </c>
      <c r="G3" s="9" t="n">
        <v>6.964285714285714</v>
      </c>
      <c r="H3" s="16" t="n">
        <v>45703.33333333334</v>
      </c>
      <c r="I3" s="16" t="n">
        <v>322822.5</v>
      </c>
      <c r="J3" s="16" t="n">
        <v>7.063434468674785</v>
      </c>
    </row>
    <row r="4">
      <c r="A4" s="9" t="inlineStr">
        <is>
          <t>Вебинар с промокодом</t>
        </is>
      </c>
      <c r="B4" s="20" t="n">
        <v>46264</v>
      </c>
      <c r="C4" s="20" t="n">
        <v>46266</v>
      </c>
      <c r="D4" s="9" t="n">
        <v>3</v>
      </c>
      <c r="E4" s="9" t="n">
        <v>8.666666666666666</v>
      </c>
      <c r="F4" s="9" t="n">
        <v>19</v>
      </c>
      <c r="G4" s="9" t="n">
        <v>2.192307692307693</v>
      </c>
      <c r="H4" s="16" t="n">
        <v>97716.66666666667</v>
      </c>
      <c r="I4" s="16" t="n">
        <v>203136</v>
      </c>
      <c r="J4" s="16" t="n">
        <v>2.078826539314344</v>
      </c>
    </row>
    <row r="5">
      <c r="A5" s="9" t="inlineStr">
        <is>
          <t>Финальная скидка ПРО</t>
        </is>
      </c>
      <c r="B5" s="20" t="n">
        <v>46270</v>
      </c>
      <c r="C5" s="20" t="n">
        <v>46271</v>
      </c>
      <c r="D5" s="9" t="n">
        <v>2</v>
      </c>
      <c r="E5" s="9" t="n">
        <v>23</v>
      </c>
      <c r="F5" s="9" t="n">
        <v>47</v>
      </c>
      <c r="G5" s="9" t="n">
        <v>2.043478260869565</v>
      </c>
      <c r="H5" s="16" t="n">
        <v>222421.6666666667</v>
      </c>
      <c r="I5" s="16" t="n">
        <v>440379.5</v>
      </c>
      <c r="J5" s="16" t="n">
        <v>1.979930762140978</v>
      </c>
    </row>
  </sheetData>
  <autoFilter ref="A1:J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42" customWidth="1" min="1" max="1"/>
    <col width="22" customWidth="1" min="2" max="2"/>
    <col width="25" customWidth="1" min="3" max="3"/>
    <col width="11" customWidth="1" min="4" max="4"/>
  </cols>
  <sheetData>
    <row r="1">
      <c r="A1" s="12" t="inlineStr">
        <is>
          <t>проверка</t>
        </is>
      </c>
      <c r="B1" s="12" t="inlineStr">
        <is>
          <t>контур</t>
        </is>
      </c>
      <c r="C1" s="12" t="inlineStr">
        <is>
          <t>отклонение_или_значение</t>
        </is>
      </c>
      <c r="D1" s="12" t="inlineStr">
        <is>
          <t>результат</t>
        </is>
      </c>
    </row>
    <row r="2">
      <c r="A2" s="9" t="inlineStr">
        <is>
          <t>сумма весов равна единице по каждому заказу</t>
        </is>
      </c>
      <c r="B2" s="9" t="inlineStr">
        <is>
          <t>первое касание</t>
        </is>
      </c>
      <c r="C2" s="9" t="n">
        <v>0</v>
      </c>
      <c r="D2" s="9" t="inlineStr">
        <is>
          <t>пройдено</t>
        </is>
      </c>
    </row>
    <row r="3">
      <c r="A3" s="9" t="inlineStr">
        <is>
          <t>атрибутированная выручка сохраняет сумму оплат</t>
        </is>
      </c>
      <c r="B3" s="9" t="inlineStr">
        <is>
          <t>первое касание</t>
        </is>
      </c>
      <c r="C3" s="9" t="n">
        <v>0</v>
      </c>
      <c r="D3" s="9" t="inlineStr">
        <is>
          <t>пройдено</t>
        </is>
      </c>
    </row>
    <row r="4">
      <c r="A4" s="9" t="inlineStr">
        <is>
          <t>сумма весов равна единице по каждому заказу</t>
        </is>
      </c>
      <c r="B4" s="9" t="inlineStr">
        <is>
          <t>последнее касание</t>
        </is>
      </c>
      <c r="C4" s="9" t="n">
        <v>0</v>
      </c>
      <c r="D4" s="9" t="inlineStr">
        <is>
          <t>пройдено</t>
        </is>
      </c>
    </row>
    <row r="5">
      <c r="A5" s="9" t="inlineStr">
        <is>
          <t>атрибутированная выручка сохраняет сумму оплат</t>
        </is>
      </c>
      <c r="B5" s="9" t="inlineStr">
        <is>
          <t>последнее касание</t>
        </is>
      </c>
      <c r="C5" s="9" t="n">
        <v>0</v>
      </c>
      <c r="D5" s="9" t="inlineStr">
        <is>
          <t>пройдено</t>
        </is>
      </c>
    </row>
    <row r="6">
      <c r="A6" s="9" t="inlineStr">
        <is>
          <t>сумма весов равна единице по каждому заказу</t>
        </is>
      </c>
      <c r="B6" s="9" t="inlineStr">
        <is>
          <t>линейная модель</t>
        </is>
      </c>
      <c r="C6" s="9" t="n">
        <v>0</v>
      </c>
      <c r="D6" s="9" t="inlineStr">
        <is>
          <t>пройдено</t>
        </is>
      </c>
    </row>
    <row r="7">
      <c r="A7" s="9" t="inlineStr">
        <is>
          <t>атрибутированная выручка сохраняет сумму оплат</t>
        </is>
      </c>
      <c r="B7" s="9" t="inlineStr">
        <is>
          <t>линейная модель</t>
        </is>
      </c>
      <c r="C7" s="9" t="n">
        <v>0</v>
      </c>
      <c r="D7" s="9" t="inlineStr">
        <is>
          <t>пройдено</t>
        </is>
      </c>
    </row>
    <row r="8">
      <c r="A8" s="9" t="inlineStr">
        <is>
          <t>сумма весов равна единице по каждому заказу</t>
        </is>
      </c>
      <c r="B8" s="9" t="inlineStr">
        <is>
          <t>затухание по времени</t>
        </is>
      </c>
      <c r="C8" s="9" t="n">
        <v>1.110223024625157e-16</v>
      </c>
      <c r="D8" s="9" t="inlineStr">
        <is>
          <t>пройдено</t>
        </is>
      </c>
    </row>
    <row r="9">
      <c r="A9" s="9" t="inlineStr">
        <is>
          <t>атрибутированная выручка сохраняет сумму оплат</t>
        </is>
      </c>
      <c r="B9" s="9" t="inlineStr">
        <is>
          <t>затухание по времени</t>
        </is>
      </c>
      <c r="C9" s="9" t="n">
        <v>0</v>
      </c>
      <c r="D9" s="9" t="inlineStr">
        <is>
          <t>пройдено</t>
        </is>
      </c>
    </row>
    <row r="10">
      <c r="A10" s="9" t="inlineStr">
        <is>
          <t>сумма весов равна единице по каждому заказу</t>
        </is>
      </c>
      <c r="B10" s="9" t="inlineStr">
        <is>
          <t>позиционная модель</t>
        </is>
      </c>
      <c r="C10" s="9" t="n">
        <v>0</v>
      </c>
      <c r="D10" s="9" t="inlineStr">
        <is>
          <t>пройдено</t>
        </is>
      </c>
    </row>
    <row r="11">
      <c r="A11" s="9" t="inlineStr">
        <is>
          <t>атрибутированная выручка сохраняет сумму оплат</t>
        </is>
      </c>
      <c r="B11" s="9" t="inlineStr">
        <is>
          <t>позиционная модель</t>
        </is>
      </c>
      <c r="C11" s="9" t="n">
        <v>0</v>
      </c>
      <c r="D11" s="9" t="inlineStr">
        <is>
          <t>пройдено</t>
        </is>
      </c>
    </row>
    <row r="12">
      <c r="A12" s="9" t="inlineStr">
        <is>
          <t>сырые технические события не удваивают маркетинговые касания</t>
        </is>
      </c>
      <c r="B12" s="9" t="inlineStr">
        <is>
          <t>все модели</t>
        </is>
      </c>
      <c r="C12" s="9" t="n">
        <v>16</v>
      </c>
      <c r="D12" s="9" t="inlineStr">
        <is>
          <t>пройдено</t>
        </is>
      </c>
    </row>
    <row r="13">
      <c r="A13" s="9" t="inlineStr">
        <is>
          <t>органический вход не конкурирует с известным маркетинговым касанием</t>
        </is>
      </c>
      <c r="B13" s="9" t="inlineStr">
        <is>
          <t>все модели</t>
        </is>
      </c>
      <c r="C13" s="9" t="n">
        <v>0</v>
      </c>
      <c r="D13" s="9" t="inlineStr">
        <is>
          <t>пройдено</t>
        </is>
      </c>
    </row>
  </sheetData>
  <autoFilter ref="A1:D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46" customWidth="1" min="1" max="1"/>
    <col width="20" customWidth="1" min="2" max="2"/>
    <col width="25" customWidth="1" min="3" max="3"/>
  </cols>
  <sheetData>
    <row r="1">
      <c r="A1" s="21" t="inlineStr">
        <is>
          <t>показатель</t>
        </is>
      </c>
      <c r="B1" s="21" t="inlineStr">
        <is>
          <t>значение</t>
        </is>
      </c>
      <c r="C1" s="21" t="inlineStr">
        <is>
          <t>основание</t>
        </is>
      </c>
    </row>
    <row r="2">
      <c r="A2" t="inlineStr">
        <is>
          <t>Наблюдаемые повторные заказы</t>
        </is>
      </c>
      <c r="B2" t="n">
        <v>22</v>
      </c>
      <c r="C2" t="inlineStr">
        <is>
          <t>реальная база этапа 2</t>
        </is>
      </c>
    </row>
    <row r="3">
      <c r="A3" t="inlineStr">
        <is>
          <t>Покупатели с наблюдаемым повтором</t>
        </is>
      </c>
      <c r="B3" t="n">
        <v>20</v>
      </c>
      <c r="C3" t="inlineStr">
        <is>
          <t>реальная база этапа 2</t>
        </is>
      </c>
    </row>
    <row r="4">
      <c r="A4" t="inlineStr">
        <is>
          <t>Выручка наблюдаемых повторных заказов, ₽</t>
        </is>
      </c>
      <c r="B4" s="5" t="n">
        <v>187575</v>
      </c>
      <c r="C4" t="inlineStr">
        <is>
          <t>реальная база этапа 2</t>
        </is>
      </c>
    </row>
    <row r="5">
      <c r="A5" t="inlineStr">
        <is>
          <t>Медианный интервал между наблюдаемыми заказами, дней</t>
        </is>
      </c>
      <c r="B5" s="18" t="n">
        <v>12.94339699074074</v>
      </c>
      <c r="C5" t="inlineStr">
        <is>
          <t>реальная база этапа 2</t>
        </is>
      </c>
    </row>
    <row r="6">
      <c r="A6" t="inlineStr">
        <is>
          <t>Минимальный интервал, дней</t>
        </is>
      </c>
      <c r="B6" s="18" t="n">
        <v>0.0183912037037037</v>
      </c>
      <c r="C6" t="inlineStr">
        <is>
          <t>реальная база этапа 2</t>
        </is>
      </c>
    </row>
    <row r="7">
      <c r="A7" t="inlineStr">
        <is>
          <t>Максимальный интервал, дней</t>
        </is>
      </c>
      <c r="B7" s="18" t="n">
        <v>28.5278587962963</v>
      </c>
      <c r="C7" t="inlineStr">
        <is>
          <t>реальная база этапа 2</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2026-09-11T18:25:07Z</dcterms:created>
  <dcterms:modified xmlns:dcterms="http://purl.org/dc/terms/" xmlns:xsi="http://www.w3.org/2001/XMLSchema-instance" xsi:type="dcterms:W3CDTF">2026-09-11T18:27:25Z</dcterms:modified>
</cp:coreProperties>
</file>